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o12\Documents\GitHub\webtools\kenketsu\"/>
    </mc:Choice>
  </mc:AlternateContent>
  <xr:revisionPtr revIDLastSave="0" documentId="8_{B0E55D0E-F9B1-4958-9757-CE04EB8B8D88}" xr6:coauthVersionLast="47" xr6:coauthVersionMax="47" xr10:uidLastSave="{00000000-0000-0000-0000-000000000000}"/>
  <bookViews>
    <workbookView xWindow="-120" yWindow="-120" windowWidth="29040" windowHeight="15720" xr2:uid="{1CBA8D09-16D7-47A1-BB51-1580FB21D026}"/>
  </bookViews>
  <sheets>
    <sheet name="Sheet2" sheetId="1" r:id="rId1"/>
  </sheets>
  <definedNames>
    <definedName name="_xlnm._FilterDatabase" localSheetId="0" hidden="1">Sheet2!$A$15:$F$184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AB2" i="1"/>
  <c r="AG2" i="1"/>
  <c r="B3" i="1"/>
  <c r="B4" i="1"/>
  <c r="F8" i="1"/>
  <c r="D12" i="1" s="1"/>
  <c r="G9" i="1"/>
  <c r="AK1" i="1" s="1"/>
  <c r="D11" i="1"/>
  <c r="I11" i="1"/>
  <c r="A16" i="1"/>
  <c r="C16" i="1"/>
  <c r="W2" i="1" s="1"/>
  <c r="D16" i="1"/>
  <c r="A17" i="1"/>
  <c r="C17" i="1"/>
  <c r="AD2" i="1" s="1"/>
  <c r="D17" i="1"/>
  <c r="A18" i="1"/>
  <c r="C18" i="1"/>
  <c r="D18" i="1"/>
  <c r="A19" i="1"/>
  <c r="C19" i="1"/>
  <c r="D19" i="1"/>
  <c r="A20" i="1"/>
  <c r="C20" i="1"/>
  <c r="D20" i="1"/>
  <c r="A21" i="1"/>
  <c r="C21" i="1"/>
  <c r="D21" i="1"/>
  <c r="A22" i="1"/>
  <c r="C22" i="1"/>
  <c r="D22" i="1"/>
  <c r="A23" i="1"/>
  <c r="C23" i="1"/>
  <c r="D23" i="1"/>
  <c r="A24" i="1"/>
  <c r="C24" i="1"/>
  <c r="D24" i="1"/>
  <c r="A25" i="1"/>
  <c r="C25" i="1"/>
  <c r="D25" i="1"/>
  <c r="A26" i="1"/>
  <c r="C26" i="1"/>
  <c r="D26" i="1"/>
  <c r="A27" i="1"/>
  <c r="C27" i="1"/>
  <c r="D27" i="1"/>
  <c r="A28" i="1"/>
  <c r="C28" i="1"/>
  <c r="D28" i="1"/>
  <c r="A29" i="1"/>
  <c r="C29" i="1"/>
  <c r="D29" i="1"/>
  <c r="A30" i="1"/>
  <c r="C30" i="1"/>
  <c r="D30" i="1"/>
  <c r="A31" i="1"/>
  <c r="C31" i="1"/>
  <c r="D31" i="1"/>
  <c r="A32" i="1"/>
  <c r="C32" i="1"/>
  <c r="D32" i="1"/>
  <c r="A33" i="1"/>
  <c r="C33" i="1"/>
  <c r="D33" i="1"/>
  <c r="A34" i="1"/>
  <c r="C34" i="1"/>
  <c r="D34" i="1"/>
  <c r="A35" i="1"/>
  <c r="C35" i="1"/>
  <c r="D35" i="1"/>
  <c r="A36" i="1"/>
  <c r="C36" i="1"/>
  <c r="D36" i="1"/>
  <c r="A37" i="1"/>
  <c r="C37" i="1"/>
  <c r="D37" i="1"/>
  <c r="A38" i="1"/>
  <c r="C38" i="1"/>
  <c r="D38" i="1"/>
  <c r="A39" i="1"/>
  <c r="C39" i="1"/>
  <c r="D39" i="1"/>
  <c r="A40" i="1"/>
  <c r="C40" i="1"/>
  <c r="D40" i="1"/>
  <c r="A41" i="1"/>
  <c r="C41" i="1"/>
  <c r="D41" i="1"/>
  <c r="A42" i="1"/>
  <c r="C42" i="1"/>
  <c r="D42" i="1"/>
  <c r="A43" i="1"/>
  <c r="C43" i="1"/>
  <c r="D43" i="1"/>
  <c r="A44" i="1"/>
  <c r="C44" i="1"/>
  <c r="D44" i="1"/>
  <c r="A45" i="1"/>
  <c r="C45" i="1"/>
  <c r="D45" i="1"/>
  <c r="A46" i="1"/>
  <c r="C46" i="1"/>
  <c r="D46" i="1"/>
  <c r="A47" i="1"/>
  <c r="C47" i="1"/>
  <c r="D47" i="1"/>
  <c r="A48" i="1"/>
  <c r="C48" i="1"/>
  <c r="D48" i="1"/>
  <c r="A49" i="1"/>
  <c r="C49" i="1"/>
  <c r="D49" i="1"/>
  <c r="A50" i="1"/>
  <c r="C50" i="1"/>
  <c r="D50" i="1"/>
  <c r="A51" i="1"/>
  <c r="C51" i="1"/>
  <c r="D51" i="1"/>
  <c r="A52" i="1"/>
  <c r="C52" i="1"/>
  <c r="D52" i="1"/>
  <c r="A53" i="1"/>
  <c r="C53" i="1"/>
  <c r="D53" i="1"/>
  <c r="A54" i="1"/>
  <c r="C54" i="1"/>
  <c r="D54" i="1"/>
  <c r="A55" i="1"/>
  <c r="C55" i="1"/>
  <c r="D55" i="1"/>
  <c r="A56" i="1"/>
  <c r="C56" i="1"/>
  <c r="D56" i="1"/>
  <c r="A57" i="1"/>
  <c r="C57" i="1"/>
  <c r="D57" i="1"/>
  <c r="A58" i="1"/>
  <c r="C58" i="1"/>
  <c r="D58" i="1"/>
  <c r="A59" i="1"/>
  <c r="C59" i="1"/>
  <c r="D59" i="1"/>
  <c r="A60" i="1"/>
  <c r="C60" i="1"/>
  <c r="D60" i="1"/>
  <c r="A61" i="1"/>
  <c r="C61" i="1"/>
  <c r="D61" i="1"/>
  <c r="A62" i="1"/>
  <c r="C62" i="1"/>
  <c r="D62" i="1"/>
  <c r="A63" i="1"/>
  <c r="C63" i="1"/>
  <c r="D63" i="1"/>
  <c r="A64" i="1"/>
  <c r="C64" i="1"/>
  <c r="D64" i="1"/>
  <c r="A65" i="1"/>
  <c r="C65" i="1"/>
  <c r="D65" i="1"/>
  <c r="A66" i="1"/>
  <c r="C66" i="1"/>
  <c r="D66" i="1"/>
  <c r="A67" i="1"/>
  <c r="C67" i="1"/>
  <c r="D67" i="1"/>
  <c r="A68" i="1"/>
  <c r="C68" i="1"/>
  <c r="D68" i="1"/>
  <c r="A69" i="1"/>
  <c r="C69" i="1"/>
  <c r="D69" i="1"/>
  <c r="A70" i="1"/>
  <c r="C70" i="1"/>
  <c r="D70" i="1"/>
  <c r="A71" i="1"/>
  <c r="C71" i="1"/>
  <c r="D71" i="1"/>
  <c r="A72" i="1"/>
  <c r="C72" i="1"/>
  <c r="D72" i="1"/>
  <c r="A73" i="1"/>
  <c r="C73" i="1"/>
  <c r="D73" i="1"/>
  <c r="A74" i="1"/>
  <c r="C74" i="1"/>
  <c r="D74" i="1"/>
  <c r="A75" i="1"/>
  <c r="C75" i="1"/>
  <c r="D75" i="1"/>
  <c r="A76" i="1"/>
  <c r="C76" i="1"/>
  <c r="D76" i="1"/>
  <c r="A77" i="1"/>
  <c r="C77" i="1"/>
  <c r="D77" i="1"/>
  <c r="A78" i="1"/>
  <c r="C78" i="1"/>
  <c r="D78" i="1"/>
  <c r="A79" i="1"/>
  <c r="C79" i="1"/>
  <c r="D79" i="1"/>
  <c r="A80" i="1"/>
  <c r="C80" i="1"/>
  <c r="D80" i="1"/>
  <c r="A81" i="1"/>
  <c r="C81" i="1"/>
  <c r="D81" i="1"/>
  <c r="A82" i="1"/>
  <c r="C82" i="1"/>
  <c r="D82" i="1"/>
  <c r="A83" i="1"/>
  <c r="C83" i="1"/>
  <c r="D83" i="1"/>
  <c r="A84" i="1"/>
  <c r="C84" i="1"/>
  <c r="D84" i="1"/>
  <c r="A85" i="1"/>
  <c r="C85" i="1"/>
  <c r="D85" i="1"/>
  <c r="A86" i="1"/>
  <c r="C86" i="1"/>
  <c r="D86" i="1"/>
  <c r="A87" i="1"/>
  <c r="C87" i="1"/>
  <c r="D87" i="1"/>
  <c r="A88" i="1"/>
  <c r="C88" i="1"/>
  <c r="D88" i="1"/>
  <c r="A89" i="1"/>
  <c r="C89" i="1"/>
  <c r="D89" i="1"/>
  <c r="A90" i="1"/>
  <c r="C90" i="1"/>
  <c r="D90" i="1"/>
  <c r="A91" i="1"/>
  <c r="C91" i="1"/>
  <c r="D91" i="1"/>
  <c r="A92" i="1"/>
  <c r="C92" i="1"/>
  <c r="D92" i="1"/>
  <c r="A93" i="1"/>
  <c r="C93" i="1"/>
  <c r="D93" i="1"/>
  <c r="A94" i="1"/>
  <c r="C94" i="1"/>
  <c r="D94" i="1"/>
  <c r="A95" i="1"/>
  <c r="C95" i="1"/>
  <c r="D95" i="1"/>
  <c r="A96" i="1"/>
  <c r="C96" i="1"/>
  <c r="D96" i="1"/>
  <c r="A97" i="1"/>
  <c r="C97" i="1"/>
  <c r="D97" i="1"/>
  <c r="A98" i="1"/>
  <c r="C98" i="1"/>
  <c r="D98" i="1"/>
  <c r="A99" i="1"/>
  <c r="C99" i="1"/>
  <c r="D99" i="1"/>
  <c r="A100" i="1"/>
  <c r="C100" i="1"/>
  <c r="D100" i="1"/>
  <c r="A101" i="1"/>
  <c r="C101" i="1"/>
  <c r="D101" i="1"/>
  <c r="A102" i="1"/>
  <c r="C102" i="1"/>
  <c r="D102" i="1"/>
  <c r="A103" i="1"/>
  <c r="C103" i="1"/>
  <c r="D103" i="1"/>
  <c r="A104" i="1"/>
  <c r="C104" i="1"/>
  <c r="D104" i="1"/>
  <c r="A105" i="1"/>
  <c r="C105" i="1"/>
  <c r="D105" i="1"/>
  <c r="A106" i="1"/>
  <c r="C106" i="1"/>
  <c r="D106" i="1"/>
  <c r="A107" i="1"/>
  <c r="C107" i="1"/>
  <c r="D107" i="1"/>
  <c r="A108" i="1"/>
  <c r="C108" i="1"/>
  <c r="D108" i="1"/>
  <c r="A109" i="1"/>
  <c r="C109" i="1"/>
  <c r="D109" i="1"/>
  <c r="A110" i="1"/>
  <c r="C110" i="1"/>
  <c r="D110" i="1"/>
  <c r="A111" i="1"/>
  <c r="C111" i="1"/>
  <c r="D111" i="1"/>
  <c r="A112" i="1"/>
  <c r="C112" i="1"/>
  <c r="D112" i="1"/>
  <c r="A113" i="1"/>
  <c r="C113" i="1"/>
  <c r="D113" i="1"/>
  <c r="A114" i="1"/>
  <c r="C114" i="1"/>
  <c r="D114" i="1"/>
  <c r="A115" i="1"/>
  <c r="C115" i="1"/>
  <c r="D115" i="1"/>
  <c r="A116" i="1"/>
  <c r="C116" i="1"/>
  <c r="D116" i="1"/>
  <c r="A117" i="1"/>
  <c r="C117" i="1"/>
  <c r="D117" i="1"/>
  <c r="A118" i="1"/>
  <c r="C118" i="1"/>
  <c r="D118" i="1"/>
  <c r="A119" i="1"/>
  <c r="C119" i="1"/>
  <c r="D119" i="1"/>
  <c r="A120" i="1"/>
  <c r="C120" i="1"/>
  <c r="D120" i="1"/>
  <c r="A121" i="1"/>
  <c r="C121" i="1"/>
  <c r="D121" i="1"/>
  <c r="A122" i="1"/>
  <c r="C122" i="1"/>
  <c r="D122" i="1"/>
  <c r="A123" i="1"/>
  <c r="C123" i="1"/>
  <c r="D123" i="1"/>
  <c r="A124" i="1"/>
  <c r="C124" i="1"/>
  <c r="D124" i="1"/>
  <c r="A125" i="1"/>
  <c r="C125" i="1"/>
  <c r="D125" i="1"/>
  <c r="A126" i="1"/>
  <c r="C126" i="1"/>
  <c r="D126" i="1"/>
  <c r="A127" i="1"/>
  <c r="C127" i="1"/>
  <c r="D127" i="1"/>
  <c r="A128" i="1"/>
  <c r="C128" i="1"/>
  <c r="D128" i="1"/>
  <c r="A129" i="1"/>
  <c r="C129" i="1"/>
  <c r="D129" i="1"/>
  <c r="A130" i="1"/>
  <c r="C130" i="1"/>
  <c r="D130" i="1"/>
  <c r="A131" i="1"/>
  <c r="C131" i="1"/>
  <c r="D131" i="1"/>
  <c r="A132" i="1"/>
  <c r="C132" i="1"/>
  <c r="D132" i="1"/>
  <c r="A133" i="1"/>
  <c r="C133" i="1"/>
  <c r="D133" i="1"/>
  <c r="A134" i="1"/>
  <c r="C134" i="1"/>
  <c r="D134" i="1"/>
  <c r="A135" i="1"/>
  <c r="C135" i="1"/>
  <c r="D135" i="1"/>
  <c r="A136" i="1"/>
  <c r="C136" i="1"/>
  <c r="D136" i="1"/>
  <c r="A137" i="1"/>
  <c r="C137" i="1"/>
  <c r="D137" i="1"/>
  <c r="A138" i="1"/>
  <c r="C138" i="1"/>
  <c r="D138" i="1"/>
  <c r="A139" i="1"/>
  <c r="C139" i="1"/>
  <c r="D139" i="1"/>
  <c r="A140" i="1"/>
  <c r="C140" i="1"/>
  <c r="D140" i="1"/>
  <c r="A141" i="1"/>
  <c r="C141" i="1"/>
  <c r="D141" i="1"/>
  <c r="A142" i="1"/>
  <c r="C142" i="1"/>
  <c r="D142" i="1"/>
  <c r="A143" i="1"/>
  <c r="C143" i="1"/>
  <c r="D143" i="1"/>
  <c r="A144" i="1"/>
  <c r="C144" i="1"/>
  <c r="D144" i="1"/>
  <c r="A145" i="1"/>
  <c r="C145" i="1"/>
  <c r="D145" i="1"/>
  <c r="A146" i="1"/>
  <c r="C146" i="1"/>
  <c r="D146" i="1"/>
  <c r="A147" i="1"/>
  <c r="C147" i="1"/>
  <c r="D147" i="1"/>
  <c r="A148" i="1"/>
  <c r="C148" i="1"/>
  <c r="D148" i="1"/>
  <c r="A149" i="1"/>
  <c r="C149" i="1"/>
  <c r="D149" i="1"/>
  <c r="A150" i="1"/>
  <c r="C150" i="1"/>
  <c r="D150" i="1"/>
  <c r="A151" i="1"/>
  <c r="C151" i="1"/>
  <c r="D151" i="1"/>
  <c r="A152" i="1"/>
  <c r="C152" i="1"/>
  <c r="D152" i="1"/>
  <c r="A153" i="1"/>
  <c r="C153" i="1"/>
  <c r="D153" i="1"/>
  <c r="A154" i="1"/>
  <c r="C154" i="1"/>
  <c r="D154" i="1"/>
  <c r="A155" i="1"/>
  <c r="C155" i="1"/>
  <c r="D155" i="1"/>
  <c r="A156" i="1"/>
  <c r="C156" i="1"/>
  <c r="D156" i="1"/>
  <c r="A157" i="1"/>
  <c r="C157" i="1"/>
  <c r="D157" i="1"/>
  <c r="A158" i="1"/>
  <c r="C158" i="1"/>
  <c r="D158" i="1"/>
  <c r="A159" i="1"/>
  <c r="C159" i="1"/>
  <c r="D159" i="1"/>
  <c r="A160" i="1"/>
  <c r="C160" i="1"/>
  <c r="D160" i="1"/>
  <c r="A161" i="1"/>
  <c r="C161" i="1"/>
  <c r="D161" i="1"/>
  <c r="A162" i="1"/>
  <c r="C162" i="1"/>
  <c r="D162" i="1"/>
  <c r="A163" i="1"/>
  <c r="C163" i="1"/>
  <c r="D163" i="1"/>
  <c r="A164" i="1"/>
  <c r="C164" i="1"/>
  <c r="D164" i="1"/>
  <c r="A165" i="1"/>
  <c r="C165" i="1"/>
  <c r="D165" i="1"/>
  <c r="A166" i="1"/>
  <c r="C166" i="1"/>
  <c r="D166" i="1"/>
  <c r="A167" i="1"/>
  <c r="C167" i="1"/>
  <c r="D167" i="1"/>
  <c r="A168" i="1"/>
  <c r="C168" i="1"/>
  <c r="D168" i="1"/>
  <c r="A169" i="1"/>
  <c r="C169" i="1"/>
  <c r="D169" i="1"/>
  <c r="A170" i="1"/>
  <c r="C170" i="1"/>
  <c r="D170" i="1"/>
  <c r="A171" i="1"/>
  <c r="C171" i="1"/>
  <c r="D171" i="1"/>
  <c r="A172" i="1"/>
  <c r="C172" i="1"/>
  <c r="D172" i="1"/>
  <c r="A173" i="1"/>
  <c r="C173" i="1"/>
  <c r="D173" i="1"/>
  <c r="A174" i="1"/>
  <c r="C174" i="1"/>
  <c r="D174" i="1"/>
  <c r="A175" i="1"/>
  <c r="C175" i="1"/>
  <c r="D175" i="1"/>
  <c r="A176" i="1"/>
  <c r="C176" i="1"/>
  <c r="D176" i="1"/>
  <c r="A177" i="1"/>
  <c r="C177" i="1"/>
  <c r="D177" i="1"/>
  <c r="A178" i="1"/>
  <c r="C178" i="1"/>
  <c r="D178" i="1"/>
  <c r="A179" i="1"/>
  <c r="C179" i="1"/>
  <c r="D179" i="1"/>
  <c r="A180" i="1"/>
  <c r="C180" i="1"/>
  <c r="D180" i="1"/>
  <c r="A181" i="1"/>
  <c r="C181" i="1"/>
  <c r="D181" i="1"/>
  <c r="A182" i="1"/>
  <c r="C182" i="1"/>
  <c r="D182" i="1"/>
  <c r="A183" i="1"/>
  <c r="C183" i="1"/>
  <c r="D183" i="1"/>
  <c r="A184" i="1"/>
  <c r="C184" i="1"/>
  <c r="D184" i="1"/>
  <c r="A185" i="1"/>
  <c r="C185" i="1"/>
  <c r="D185" i="1"/>
  <c r="A186" i="1"/>
  <c r="C186" i="1"/>
  <c r="D186" i="1"/>
  <c r="A187" i="1"/>
  <c r="C187" i="1"/>
  <c r="D187" i="1"/>
  <c r="A188" i="1"/>
  <c r="C188" i="1"/>
  <c r="D188" i="1"/>
  <c r="A189" i="1"/>
  <c r="C189" i="1"/>
  <c r="D189" i="1"/>
  <c r="A190" i="1"/>
  <c r="C190" i="1"/>
  <c r="D190" i="1"/>
  <c r="A191" i="1"/>
  <c r="C191" i="1"/>
  <c r="D191" i="1"/>
  <c r="A192" i="1"/>
  <c r="C192" i="1"/>
  <c r="D192" i="1"/>
  <c r="A193" i="1"/>
  <c r="C193" i="1"/>
  <c r="D193" i="1"/>
  <c r="A194" i="1"/>
  <c r="C194" i="1"/>
  <c r="D194" i="1"/>
  <c r="A195" i="1"/>
  <c r="C195" i="1"/>
  <c r="D195" i="1"/>
  <c r="A196" i="1"/>
  <c r="C196" i="1"/>
  <c r="D196" i="1"/>
  <c r="A197" i="1"/>
  <c r="C197" i="1"/>
  <c r="D197" i="1"/>
  <c r="A198" i="1"/>
  <c r="C198" i="1"/>
  <c r="D198" i="1"/>
  <c r="A199" i="1"/>
  <c r="C199" i="1"/>
  <c r="D199" i="1"/>
  <c r="A200" i="1"/>
  <c r="C200" i="1"/>
  <c r="D200" i="1"/>
  <c r="A201" i="1"/>
  <c r="C201" i="1"/>
  <c r="D201" i="1"/>
  <c r="A202" i="1"/>
  <c r="C202" i="1"/>
  <c r="D202" i="1"/>
  <c r="A203" i="1"/>
  <c r="C203" i="1"/>
  <c r="D203" i="1"/>
  <c r="A204" i="1"/>
  <c r="C204" i="1"/>
  <c r="D204" i="1"/>
  <c r="A205" i="1"/>
  <c r="C205" i="1"/>
  <c r="D205" i="1"/>
  <c r="A206" i="1"/>
  <c r="C206" i="1"/>
  <c r="D206" i="1"/>
  <c r="A207" i="1"/>
  <c r="C207" i="1"/>
  <c r="D207" i="1"/>
  <c r="A208" i="1"/>
  <c r="C208" i="1"/>
  <c r="D208" i="1"/>
  <c r="A209" i="1"/>
  <c r="C209" i="1"/>
  <c r="D209" i="1"/>
  <c r="A210" i="1"/>
  <c r="C210" i="1"/>
  <c r="D210" i="1"/>
  <c r="A211" i="1"/>
  <c r="C211" i="1"/>
  <c r="D211" i="1"/>
  <c r="A212" i="1"/>
  <c r="C212" i="1"/>
  <c r="D212" i="1"/>
  <c r="A213" i="1"/>
  <c r="C213" i="1"/>
  <c r="D213" i="1"/>
  <c r="A214" i="1"/>
  <c r="C214" i="1"/>
  <c r="D214" i="1"/>
  <c r="A215" i="1"/>
  <c r="C215" i="1"/>
  <c r="D215" i="1"/>
  <c r="A216" i="1"/>
  <c r="C216" i="1"/>
  <c r="D216" i="1"/>
  <c r="A217" i="1"/>
  <c r="C217" i="1"/>
  <c r="D217" i="1"/>
  <c r="A218" i="1"/>
  <c r="C218" i="1"/>
  <c r="D218" i="1"/>
  <c r="A219" i="1"/>
  <c r="C219" i="1"/>
  <c r="D219" i="1"/>
  <c r="A220" i="1"/>
  <c r="C220" i="1"/>
  <c r="D220" i="1"/>
  <c r="A221" i="1"/>
  <c r="C221" i="1"/>
  <c r="D221" i="1"/>
  <c r="A222" i="1"/>
  <c r="C222" i="1"/>
  <c r="D222" i="1"/>
  <c r="A223" i="1"/>
  <c r="C223" i="1"/>
  <c r="D223" i="1"/>
  <c r="A224" i="1"/>
  <c r="C224" i="1"/>
  <c r="D224" i="1"/>
  <c r="A225" i="1"/>
  <c r="C225" i="1"/>
  <c r="D225" i="1"/>
  <c r="A226" i="1"/>
  <c r="C226" i="1"/>
  <c r="D226" i="1"/>
  <c r="A227" i="1"/>
  <c r="C227" i="1"/>
  <c r="D227" i="1"/>
  <c r="A228" i="1"/>
  <c r="C228" i="1"/>
  <c r="D228" i="1"/>
  <c r="A229" i="1"/>
  <c r="C229" i="1"/>
  <c r="D229" i="1"/>
  <c r="A230" i="1"/>
  <c r="C230" i="1"/>
  <c r="D230" i="1"/>
  <c r="A231" i="1"/>
  <c r="C231" i="1"/>
  <c r="D231" i="1"/>
  <c r="A232" i="1"/>
  <c r="C232" i="1"/>
  <c r="D232" i="1"/>
  <c r="A233" i="1"/>
  <c r="C233" i="1"/>
  <c r="D233" i="1"/>
  <c r="A234" i="1"/>
  <c r="C234" i="1"/>
  <c r="D234" i="1"/>
  <c r="A235" i="1"/>
  <c r="C235" i="1"/>
  <c r="D235" i="1"/>
  <c r="A236" i="1"/>
  <c r="C236" i="1"/>
  <c r="D236" i="1"/>
  <c r="A237" i="1"/>
  <c r="C237" i="1"/>
  <c r="D237" i="1"/>
  <c r="A238" i="1"/>
  <c r="C238" i="1"/>
  <c r="D238" i="1"/>
  <c r="A239" i="1"/>
  <c r="C239" i="1"/>
  <c r="D239" i="1"/>
  <c r="A240" i="1"/>
  <c r="C240" i="1"/>
  <c r="D240" i="1"/>
  <c r="A241" i="1"/>
  <c r="C241" i="1"/>
  <c r="D241" i="1"/>
  <c r="A242" i="1"/>
  <c r="C242" i="1"/>
  <c r="D242" i="1"/>
  <c r="A243" i="1"/>
  <c r="C243" i="1"/>
  <c r="D243" i="1"/>
  <c r="A244" i="1"/>
  <c r="C244" i="1"/>
  <c r="D244" i="1"/>
  <c r="A245" i="1"/>
  <c r="C245" i="1"/>
  <c r="D245" i="1"/>
  <c r="A246" i="1"/>
  <c r="C246" i="1"/>
  <c r="D246" i="1"/>
  <c r="A247" i="1"/>
  <c r="C247" i="1"/>
  <c r="D247" i="1"/>
  <c r="A248" i="1"/>
  <c r="C248" i="1"/>
  <c r="D248" i="1"/>
  <c r="A249" i="1"/>
  <c r="C249" i="1"/>
  <c r="D249" i="1"/>
  <c r="A250" i="1"/>
  <c r="C250" i="1"/>
  <c r="D250" i="1"/>
  <c r="A251" i="1"/>
  <c r="C251" i="1"/>
  <c r="D251" i="1"/>
  <c r="A252" i="1"/>
  <c r="C252" i="1"/>
  <c r="D252" i="1"/>
  <c r="A253" i="1"/>
  <c r="C253" i="1"/>
  <c r="D253" i="1"/>
  <c r="A254" i="1"/>
  <c r="C254" i="1"/>
  <c r="D254" i="1"/>
  <c r="A255" i="1"/>
  <c r="C255" i="1"/>
  <c r="D255" i="1"/>
  <c r="A256" i="1"/>
  <c r="C256" i="1"/>
  <c r="D256" i="1"/>
  <c r="A257" i="1"/>
  <c r="C257" i="1"/>
  <c r="D257" i="1"/>
  <c r="A258" i="1"/>
  <c r="C258" i="1"/>
  <c r="D258" i="1"/>
  <c r="A259" i="1"/>
  <c r="C259" i="1"/>
  <c r="D259" i="1"/>
  <c r="A260" i="1"/>
  <c r="C260" i="1"/>
  <c r="D260" i="1"/>
  <c r="A261" i="1"/>
  <c r="C261" i="1"/>
  <c r="D261" i="1"/>
  <c r="A262" i="1"/>
  <c r="C262" i="1"/>
  <c r="D262" i="1"/>
  <c r="A263" i="1"/>
  <c r="C263" i="1"/>
  <c r="D263" i="1"/>
  <c r="A264" i="1"/>
  <c r="C264" i="1"/>
  <c r="D264" i="1"/>
  <c r="A265" i="1"/>
  <c r="C265" i="1"/>
  <c r="D265" i="1"/>
  <c r="A266" i="1"/>
  <c r="C266" i="1"/>
  <c r="D266" i="1"/>
  <c r="A267" i="1"/>
  <c r="C267" i="1"/>
  <c r="D267" i="1"/>
  <c r="A268" i="1"/>
  <c r="C268" i="1"/>
  <c r="D268" i="1"/>
  <c r="A269" i="1"/>
  <c r="C269" i="1"/>
  <c r="D269" i="1"/>
  <c r="A270" i="1"/>
  <c r="C270" i="1"/>
  <c r="D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D10" i="1" l="1"/>
  <c r="D8" i="1"/>
  <c r="D6" i="1"/>
  <c r="D14" i="1"/>
  <c r="D7" i="1"/>
  <c r="D13" i="1"/>
  <c r="U2" i="1"/>
  <c r="AE2" i="1"/>
  <c r="I10" i="1"/>
  <c r="M6" i="1"/>
  <c r="K6" i="1"/>
  <c r="K11" i="1"/>
  <c r="AH2" i="1"/>
  <c r="V2" i="1"/>
  <c r="M7" i="1"/>
  <c r="S2" i="1"/>
  <c r="AF2" i="1"/>
  <c r="K7" i="1"/>
  <c r="R2" i="1"/>
  <c r="AC2" i="1"/>
  <c r="K9" i="1"/>
  <c r="I9" i="1"/>
  <c r="I12" i="1" s="1"/>
  <c r="M3" i="1"/>
  <c r="K4" i="1"/>
  <c r="K2" i="1"/>
  <c r="D9" i="1"/>
  <c r="K5" i="1"/>
  <c r="D4" i="1"/>
  <c r="D3" i="1"/>
  <c r="Y2" i="1"/>
  <c r="D2" i="1"/>
  <c r="T2" i="1"/>
  <c r="K10" i="1"/>
  <c r="Q2" i="1"/>
  <c r="P2" i="1"/>
  <c r="P3" i="1" s="1"/>
  <c r="M2" i="1"/>
  <c r="K3" i="1"/>
  <c r="M8" i="1"/>
  <c r="D5" i="1"/>
  <c r="X2" i="1"/>
  <c r="M4" i="1"/>
  <c r="AA2" i="1"/>
  <c r="M5" i="1"/>
  <c r="Z2" i="1"/>
  <c r="K8" i="1"/>
  <c r="AI2" i="1"/>
  <c r="M12" i="1" l="1"/>
  <c r="P4" i="1"/>
  <c r="Q3" i="1"/>
  <c r="K12" i="1"/>
  <c r="R3" i="1" l="1"/>
  <c r="Q4" i="1"/>
  <c r="S3" i="1" l="1"/>
  <c r="R4" i="1"/>
  <c r="S4" i="1" l="1"/>
  <c r="T3" i="1"/>
  <c r="U3" i="1" l="1"/>
  <c r="T4" i="1"/>
  <c r="U4" i="1" l="1"/>
  <c r="V3" i="1"/>
  <c r="W3" i="1" l="1"/>
  <c r="V4" i="1"/>
  <c r="W4" i="1" l="1"/>
  <c r="X3" i="1"/>
  <c r="X4" i="1" l="1"/>
  <c r="Y3" i="1"/>
  <c r="Y4" i="1" l="1"/>
  <c r="Z3" i="1"/>
  <c r="Z4" i="1" l="1"/>
  <c r="AA3" i="1"/>
  <c r="AA4" i="1" l="1"/>
  <c r="AB3" i="1"/>
  <c r="AB4" i="1" l="1"/>
  <c r="AC3" i="1"/>
  <c r="AC4" i="1" l="1"/>
  <c r="AD3" i="1"/>
  <c r="AE3" i="1" l="1"/>
  <c r="AD4" i="1"/>
  <c r="AE4" i="1" l="1"/>
  <c r="AF3" i="1"/>
  <c r="AG3" i="1" l="1"/>
  <c r="AF4" i="1"/>
  <c r="AG4" i="1" l="1"/>
  <c r="AH3" i="1"/>
  <c r="AI3" i="1" l="1"/>
  <c r="AI4" i="1" s="1"/>
  <c r="AH4" i="1"/>
</calcChain>
</file>

<file path=xl/sharedStrings.xml><?xml version="1.0" encoding="utf-8"?>
<sst xmlns="http://schemas.openxmlformats.org/spreadsheetml/2006/main" count="546" uniqueCount="36">
  <si>
    <t>三重（新）</t>
    <rPh sb="0" eb="2">
      <t>ミエ</t>
    </rPh>
    <rPh sb="3" eb="4">
      <t>シン</t>
    </rPh>
    <phoneticPr fontId="2"/>
  </si>
  <si>
    <t>血漿</t>
    <rPh sb="0" eb="2">
      <t>ケッショウ</t>
    </rPh>
    <phoneticPr fontId="2"/>
  </si>
  <si>
    <t>伊勢</t>
    <rPh sb="0" eb="2">
      <t>イセ</t>
    </rPh>
    <phoneticPr fontId="2"/>
  </si>
  <si>
    <t>姫路</t>
    <rPh sb="0" eb="2">
      <t>ヒメジ</t>
    </rPh>
    <phoneticPr fontId="2"/>
  </si>
  <si>
    <t>福井</t>
    <rPh sb="0" eb="2">
      <t>フクイ</t>
    </rPh>
    <phoneticPr fontId="2"/>
  </si>
  <si>
    <t>四日市</t>
    <rPh sb="0" eb="3">
      <t>ヨッカイチ</t>
    </rPh>
    <phoneticPr fontId="2"/>
  </si>
  <si>
    <t>三重（新）</t>
    <phoneticPr fontId="2"/>
  </si>
  <si>
    <t>三重</t>
    <rPh sb="0" eb="2">
      <t>ミエ</t>
    </rPh>
    <phoneticPr fontId="2"/>
  </si>
  <si>
    <t>血小板</t>
    <rPh sb="0" eb="3">
      <t>ケッショウバン</t>
    </rPh>
    <phoneticPr fontId="2"/>
  </si>
  <si>
    <t>全血</t>
    <rPh sb="0" eb="2">
      <t>ゼンケツ</t>
    </rPh>
    <phoneticPr fontId="2"/>
  </si>
  <si>
    <t>にしきた</t>
    <phoneticPr fontId="2"/>
  </si>
  <si>
    <t>ミント</t>
    <phoneticPr fontId="2"/>
  </si>
  <si>
    <t>さんさん</t>
    <phoneticPr fontId="2"/>
  </si>
  <si>
    <t>センタープラザ</t>
    <phoneticPr fontId="2"/>
  </si>
  <si>
    <t>明石</t>
    <rPh sb="0" eb="2">
      <t>アカシ</t>
    </rPh>
    <phoneticPr fontId="2"/>
  </si>
  <si>
    <t>阪急グランドビル</t>
    <rPh sb="0" eb="2">
      <t>ハンキュウ</t>
    </rPh>
    <phoneticPr fontId="2"/>
  </si>
  <si>
    <t>大阪府</t>
    <rPh sb="0" eb="3">
      <t>オオサカフ</t>
    </rPh>
    <phoneticPr fontId="2"/>
  </si>
  <si>
    <t>place</t>
    <phoneticPr fontId="2"/>
  </si>
  <si>
    <t>set</t>
    <phoneticPr fontId="2"/>
  </si>
  <si>
    <t>yyy/m</t>
    <phoneticPr fontId="2"/>
  </si>
  <si>
    <t>yyyy</t>
    <phoneticPr fontId="2"/>
  </si>
  <si>
    <t>yyyy/m/d</t>
    <phoneticPr fontId="2"/>
  </si>
  <si>
    <t>cnt</t>
    <phoneticPr fontId="2"/>
  </si>
  <si>
    <t>血漿を優先する</t>
    <rPh sb="0" eb="2">
      <t>ケッショウ</t>
    </rPh>
    <rPh sb="3" eb="5">
      <t>ユウセン</t>
    </rPh>
    <phoneticPr fontId="2"/>
  </si>
  <si>
    <t>20年平均</t>
    <rPh sb="2" eb="3">
      <t>ネン</t>
    </rPh>
    <rPh sb="3" eb="5">
      <t>ヘイキン</t>
    </rPh>
    <phoneticPr fontId="2"/>
  </si>
  <si>
    <t>10年平均</t>
    <rPh sb="2" eb="3">
      <t>ネン</t>
    </rPh>
    <rPh sb="3" eb="5">
      <t>ヘイキン</t>
    </rPh>
    <phoneticPr fontId="2"/>
  </si>
  <si>
    <t>00年平均</t>
    <rPh sb="2" eb="3">
      <t>ネン</t>
    </rPh>
    <rPh sb="3" eb="5">
      <t>ヘイキン</t>
    </rPh>
    <phoneticPr fontId="2"/>
  </si>
  <si>
    <t>合計</t>
    <rPh sb="0" eb="2">
      <t>ゴウケイ</t>
    </rPh>
    <phoneticPr fontId="2"/>
  </si>
  <si>
    <t>初めての献血から</t>
    <rPh sb="0" eb="1">
      <t>ハジ</t>
    </rPh>
    <rPh sb="4" eb="6">
      <t>ケンケツ</t>
    </rPh>
    <phoneticPr fontId="2"/>
  </si>
  <si>
    <t>年平均</t>
    <rPh sb="0" eb="3">
      <t>ネンヘイキン</t>
    </rPh>
    <phoneticPr fontId="2"/>
  </si>
  <si>
    <t>累計回数</t>
    <rPh sb="0" eb="2">
      <t>ルイケイ</t>
    </rPh>
    <rPh sb="2" eb="4">
      <t>カイスウ</t>
    </rPh>
    <phoneticPr fontId="2"/>
  </si>
  <si>
    <t>年間回数</t>
    <rPh sb="0" eb="2">
      <t>ネンカン</t>
    </rPh>
    <rPh sb="2" eb="4">
      <t>カイスウ</t>
    </rPh>
    <phoneticPr fontId="2"/>
  </si>
  <si>
    <t>年間平均</t>
    <rPh sb="0" eb="2">
      <t>ネンカン</t>
    </rPh>
    <rPh sb="2" eb="4">
      <t>ヘイキン</t>
    </rPh>
    <phoneticPr fontId="2"/>
  </si>
  <si>
    <t>年</t>
    <rPh sb="0" eb="1">
      <t>ネン</t>
    </rPh>
    <phoneticPr fontId="2"/>
  </si>
  <si>
    <t>場所</t>
    <rPh sb="0" eb="2">
      <t>バショ</t>
    </rPh>
    <phoneticPr fontId="2"/>
  </si>
  <si>
    <t>種別</t>
    <rPh sb="0" eb="2">
      <t>シュベツ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</si>
</sst>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¥&quot;#,##0;&quot;¥&quot;\-#,##0"/>
    <numFmt numFmtId="176" formatCode="yy/m/d"/>
    <numFmt numFmtId="177" formatCode="0.0_ "/>
    <numFmt numFmtId="178" formatCode="0_);[Red]\(0\)"/>
    <numFmt numFmtId="179" formatCode="0.00_ "/>
  </numFmts>
  <fonts count="7" x14ac:knownFonts="1">
    <font>
      <sz val="11"/>
      <color theme="1"/>
      <name val="游ゴシック"/>
      <family val="2"/>
      <scheme val="minor"/>
    </font>
    <font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9"/>
      <color theme="1"/>
      <name val="Noto Sans JP"/>
      <family val="3"/>
      <charset val="128"/>
    </font>
    <font>
      <sz val="6"/>
      <color theme="1"/>
      <name val="Noto Sans JP"/>
      <family val="3"/>
      <charset val="128"/>
    </font>
    <font>
      <sz val="16"/>
      <color theme="1"/>
      <name val="Noto Sans JP"/>
      <family val="3"/>
      <charset val="128"/>
    </font>
    <font>
      <sz val="11"/>
      <color theme="0"/>
      <name val="Noto Sans JP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76" fontId="1" fillId="0" borderId="2" xfId="0" applyNumberFormat="1" applyFont="1" applyBorder="1"/>
    <xf numFmtId="5" fontId="1" fillId="0" borderId="0" xfId="0" applyNumberFormat="1" applyFont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76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0" borderId="0" xfId="0" applyFont="1"/>
    <xf numFmtId="0" fontId="1" fillId="0" borderId="7" xfId="0" applyFont="1" applyBorder="1"/>
    <xf numFmtId="177" fontId="4" fillId="3" borderId="8" xfId="0" applyNumberFormat="1" applyFont="1" applyFill="1" applyBorder="1"/>
    <xf numFmtId="0" fontId="4" fillId="3" borderId="8" xfId="0" applyFont="1" applyFill="1" applyBorder="1"/>
    <xf numFmtId="0" fontId="3" fillId="0" borderId="7" xfId="0" applyFont="1" applyBorder="1"/>
    <xf numFmtId="0" fontId="3" fillId="0" borderId="2" xfId="0" applyFont="1" applyBorder="1"/>
    <xf numFmtId="0" fontId="5" fillId="0" borderId="9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10" xfId="0" applyFont="1" applyBorder="1"/>
    <xf numFmtId="0" fontId="3" fillId="0" borderId="10" xfId="0" applyFont="1" applyBorder="1"/>
    <xf numFmtId="0" fontId="5" fillId="0" borderId="11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4" borderId="2" xfId="0" applyFont="1" applyFill="1" applyBorder="1"/>
    <xf numFmtId="0" fontId="1" fillId="0" borderId="12" xfId="0" applyFont="1" applyBorder="1"/>
    <xf numFmtId="0" fontId="3" fillId="0" borderId="12" xfId="0" applyFont="1" applyBorder="1"/>
    <xf numFmtId="0" fontId="1" fillId="5" borderId="13" xfId="0" applyFont="1" applyFill="1" applyBorder="1"/>
    <xf numFmtId="178" fontId="1" fillId="0" borderId="14" xfId="0" applyNumberFormat="1" applyFont="1" applyBorder="1" applyAlignment="1">
      <alignment horizontal="center"/>
    </xf>
    <xf numFmtId="178" fontId="1" fillId="0" borderId="15" xfId="0" applyNumberFormat="1" applyFont="1" applyBorder="1" applyAlignment="1">
      <alignment horizontal="center"/>
    </xf>
    <xf numFmtId="0" fontId="1" fillId="0" borderId="2" xfId="0" applyFont="1" applyBorder="1" applyAlignment="1">
      <alignment shrinkToFit="1"/>
    </xf>
    <xf numFmtId="0" fontId="1" fillId="5" borderId="16" xfId="0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14" fontId="6" fillId="0" borderId="0" xfId="0" applyNumberFormat="1" applyFont="1"/>
    <xf numFmtId="179" fontId="1" fillId="0" borderId="0" xfId="0" applyNumberFormat="1" applyFont="1"/>
    <xf numFmtId="0" fontId="4" fillId="0" borderId="12" xfId="0" applyFont="1" applyBorder="1"/>
    <xf numFmtId="0" fontId="4" fillId="0" borderId="2" xfId="0" applyFont="1" applyBorder="1"/>
    <xf numFmtId="0" fontId="4" fillId="0" borderId="10" xfId="0" applyFont="1" applyBorder="1"/>
    <xf numFmtId="0" fontId="1" fillId="5" borderId="17" xfId="0" applyFont="1" applyFill="1" applyBorder="1"/>
    <xf numFmtId="0" fontId="1" fillId="4" borderId="18" xfId="0" applyFont="1" applyFill="1" applyBorder="1"/>
    <xf numFmtId="0" fontId="1" fillId="6" borderId="19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21" xfId="0" applyFont="1" applyFill="1" applyBorder="1" applyAlignment="1">
      <alignment horizontal="center"/>
    </xf>
    <xf numFmtId="0" fontId="1" fillId="7" borderId="22" xfId="0" applyFont="1" applyFill="1" applyBorder="1" applyAlignment="1">
      <alignment horizontal="center"/>
    </xf>
    <xf numFmtId="0" fontId="1" fillId="7" borderId="23" xfId="0" applyFont="1" applyFill="1" applyBorder="1" applyAlignment="1">
      <alignment horizontal="center"/>
    </xf>
    <xf numFmtId="0" fontId="1" fillId="8" borderId="18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defRPr>
            </a:pPr>
            <a:r>
              <a:rPr lang="ja-JP"/>
              <a:t>献血回数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JP" panose="020B0200000000000000" pitchFamily="50" charset="-128"/>
              <a:ea typeface="Noto Sans JP" panose="020B0200000000000000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9.9495892174374753E-2"/>
          <c:y val="0.14184839774642366"/>
          <c:w val="0.84132469410052646"/>
          <c:h val="0.630353730116025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Sheet2!$O$2</c:f>
              <c:strCache>
                <c:ptCount val="1"/>
                <c:pt idx="0">
                  <c:v>年間回数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5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DA-4D52-AF72-6A8432E5D821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8DA-4D52-AF72-6A8432E5D821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8DA-4D52-AF72-6A8432E5D821}"/>
              </c:ext>
            </c:extLst>
          </c:dPt>
          <c:dLbls>
            <c:spPr>
              <a:solidFill>
                <a:schemeClr val="bg1">
                  <a:alpha val="61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JP" panose="020B0200000000000000" pitchFamily="50" charset="-128"/>
                    <a:ea typeface="Noto Sans JP" panose="020B0200000000000000" pitchFamily="50" charset="-128"/>
                    <a:cs typeface="+mn-cs"/>
                  </a:defRPr>
                </a:pPr>
                <a:endParaRPr lang="ja-JP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Sheet2!$P$1:$AI$1</c:f>
              <c:numCache>
                <c:formatCode>General</c:formatCode>
                <c:ptCount val="2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</c:numCache>
            </c:numRef>
          </c:cat>
          <c:val>
            <c:numRef>
              <c:f>Sheet2!$P$2:$AI$2</c:f>
              <c:numCache>
                <c:formatCode>General</c:formatCode>
                <c:ptCount val="20"/>
                <c:pt idx="0">
                  <c:v>3</c:v>
                </c:pt>
                <c:pt idx="1">
                  <c:v>10</c:v>
                </c:pt>
                <c:pt idx="2">
                  <c:v>11</c:v>
                </c:pt>
                <c:pt idx="3">
                  <c:v>13</c:v>
                </c:pt>
                <c:pt idx="4">
                  <c:v>10</c:v>
                </c:pt>
                <c:pt idx="5">
                  <c:v>11</c:v>
                </c:pt>
                <c:pt idx="6">
                  <c:v>13</c:v>
                </c:pt>
                <c:pt idx="7">
                  <c:v>13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5</c:v>
                </c:pt>
                <c:pt idx="12">
                  <c:v>0</c:v>
                </c:pt>
                <c:pt idx="13">
                  <c:v>3</c:v>
                </c:pt>
                <c:pt idx="14">
                  <c:v>16</c:v>
                </c:pt>
                <c:pt idx="15">
                  <c:v>18</c:v>
                </c:pt>
                <c:pt idx="16">
                  <c:v>21</c:v>
                </c:pt>
                <c:pt idx="17">
                  <c:v>24</c:v>
                </c:pt>
                <c:pt idx="18">
                  <c:v>24</c:v>
                </c:pt>
                <c:pt idx="1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DA-4D52-AF72-6A8432E5D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3508976"/>
        <c:axId val="141377968"/>
      </c:barChart>
      <c:lineChart>
        <c:grouping val="standard"/>
        <c:varyColors val="0"/>
        <c:ser>
          <c:idx val="1"/>
          <c:order val="1"/>
          <c:tx>
            <c:strRef>
              <c:f>Sheet2!$O$3</c:f>
              <c:strCache>
                <c:ptCount val="1"/>
                <c:pt idx="0">
                  <c:v>累計回数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Sheet2!$P$1:$AI$1</c:f>
              <c:numCache>
                <c:formatCode>General</c:formatCode>
                <c:ptCount val="2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</c:numCache>
            </c:numRef>
          </c:cat>
          <c:val>
            <c:numRef>
              <c:f>Sheet2!$P$3:$AI$3</c:f>
              <c:numCache>
                <c:formatCode>General</c:formatCode>
                <c:ptCount val="20"/>
                <c:pt idx="0">
                  <c:v>3</c:v>
                </c:pt>
                <c:pt idx="1">
                  <c:v>13</c:v>
                </c:pt>
                <c:pt idx="2">
                  <c:v>24</c:v>
                </c:pt>
                <c:pt idx="3">
                  <c:v>37</c:v>
                </c:pt>
                <c:pt idx="4">
                  <c:v>47</c:v>
                </c:pt>
                <c:pt idx="5">
                  <c:v>58</c:v>
                </c:pt>
                <c:pt idx="6">
                  <c:v>71</c:v>
                </c:pt>
                <c:pt idx="7">
                  <c:v>84</c:v>
                </c:pt>
                <c:pt idx="8">
                  <c:v>99</c:v>
                </c:pt>
                <c:pt idx="9">
                  <c:v>114</c:v>
                </c:pt>
                <c:pt idx="10">
                  <c:v>130</c:v>
                </c:pt>
                <c:pt idx="11">
                  <c:v>135</c:v>
                </c:pt>
                <c:pt idx="12">
                  <c:v>135</c:v>
                </c:pt>
                <c:pt idx="13">
                  <c:v>138</c:v>
                </c:pt>
                <c:pt idx="14">
                  <c:v>154</c:v>
                </c:pt>
                <c:pt idx="15">
                  <c:v>172</c:v>
                </c:pt>
                <c:pt idx="16">
                  <c:v>193</c:v>
                </c:pt>
                <c:pt idx="17">
                  <c:v>217</c:v>
                </c:pt>
                <c:pt idx="18">
                  <c:v>241</c:v>
                </c:pt>
                <c:pt idx="19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8DA-4D52-AF72-6A8432E5D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77552"/>
        <c:axId val="2097605872"/>
      </c:lineChart>
      <c:lineChart>
        <c:grouping val="standard"/>
        <c:varyColors val="0"/>
        <c:ser>
          <c:idx val="2"/>
          <c:order val="2"/>
          <c:tx>
            <c:strRef>
              <c:f>Sheet2!$O$4</c:f>
              <c:strCache>
                <c:ptCount val="1"/>
                <c:pt idx="0">
                  <c:v>年平均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Sheet2!$P$1:$AI$1</c:f>
              <c:numCache>
                <c:formatCode>General</c:formatCode>
                <c:ptCount val="2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</c:numCache>
            </c:numRef>
          </c:cat>
          <c:val>
            <c:numRef>
              <c:f>Sheet2!$P$4:$AI$4</c:f>
              <c:numCache>
                <c:formatCode>0.00_ </c:formatCode>
                <c:ptCount val="20"/>
                <c:pt idx="0">
                  <c:v>3</c:v>
                </c:pt>
                <c:pt idx="1">
                  <c:v>6.5</c:v>
                </c:pt>
                <c:pt idx="2">
                  <c:v>8</c:v>
                </c:pt>
                <c:pt idx="3">
                  <c:v>9.25</c:v>
                </c:pt>
                <c:pt idx="4">
                  <c:v>9.4</c:v>
                </c:pt>
                <c:pt idx="5">
                  <c:v>9.6666666666666661</c:v>
                </c:pt>
                <c:pt idx="6">
                  <c:v>10.142857142857142</c:v>
                </c:pt>
                <c:pt idx="7">
                  <c:v>10.5</c:v>
                </c:pt>
                <c:pt idx="8">
                  <c:v>11</c:v>
                </c:pt>
                <c:pt idx="9">
                  <c:v>11.4</c:v>
                </c:pt>
                <c:pt idx="10">
                  <c:v>11.818181818181818</c:v>
                </c:pt>
                <c:pt idx="11">
                  <c:v>11.25</c:v>
                </c:pt>
                <c:pt idx="12">
                  <c:v>10.384615384615385</c:v>
                </c:pt>
                <c:pt idx="13">
                  <c:v>9.8571428571428577</c:v>
                </c:pt>
                <c:pt idx="14">
                  <c:v>10.266666666666667</c:v>
                </c:pt>
                <c:pt idx="15">
                  <c:v>10.75</c:v>
                </c:pt>
                <c:pt idx="16">
                  <c:v>11.352941176470589</c:v>
                </c:pt>
                <c:pt idx="17">
                  <c:v>12.055555555555555</c:v>
                </c:pt>
                <c:pt idx="18">
                  <c:v>12.684210526315789</c:v>
                </c:pt>
                <c:pt idx="19">
                  <c:v>13.421052631578947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8DA-4D52-AF72-6A8432E5D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3508976"/>
        <c:axId val="141377968"/>
      </c:lineChart>
      <c:valAx>
        <c:axId val="209760587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defRPr>
            </a:pPr>
            <a:endParaRPr lang="ja-JP"/>
          </a:p>
        </c:txPr>
        <c:crossAx val="140777552"/>
        <c:crosses val="max"/>
        <c:crossBetween val="between"/>
      </c:valAx>
      <c:catAx>
        <c:axId val="140777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30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defRPr>
            </a:pPr>
            <a:endParaRPr lang="ja-JP"/>
          </a:p>
        </c:txPr>
        <c:crossAx val="2097605872"/>
        <c:crosses val="autoZero"/>
        <c:auto val="1"/>
        <c:lblAlgn val="ctr"/>
        <c:lblOffset val="100"/>
        <c:noMultiLvlLbl val="0"/>
      </c:catAx>
      <c:valAx>
        <c:axId val="141377968"/>
        <c:scaling>
          <c:orientation val="minMax"/>
          <c:max val="35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defRPr>
            </a:pPr>
            <a:endParaRPr lang="ja-JP"/>
          </a:p>
        </c:txPr>
        <c:crossAx val="2093508976"/>
        <c:crosses val="autoZero"/>
        <c:crossBetween val="between"/>
      </c:valAx>
      <c:catAx>
        <c:axId val="2093508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1377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JP" panose="020B0200000000000000" pitchFamily="50" charset="-128"/>
              <a:ea typeface="Noto Sans JP" panose="020B0200000000000000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Noto Sans JP" panose="020B0200000000000000" pitchFamily="50" charset="-128"/>
          <a:ea typeface="Noto Sans JP" panose="020B02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93556</xdr:colOff>
      <xdr:row>0</xdr:row>
      <xdr:rowOff>0</xdr:rowOff>
    </xdr:from>
    <xdr:to>
      <xdr:col>35</xdr:col>
      <xdr:colOff>314325</xdr:colOff>
      <xdr:row>14</xdr:row>
      <xdr:rowOff>95250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1067AFF-F682-43A8-9325-8FB820FA9C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149B3-2504-478C-A1AC-FB343B58A270}">
  <dimension ref="A1:AK340"/>
  <sheetViews>
    <sheetView showGridLines="0" tabSelected="1" zoomScaleNormal="100" workbookViewId="0">
      <pane ySplit="15" topLeftCell="A46" activePane="bottomLeft" state="frozen"/>
      <selection pane="bottomLeft" activeCell="A18" sqref="A18:AD22"/>
    </sheetView>
  </sheetViews>
  <sheetFormatPr defaultColWidth="9" defaultRowHeight="18" x14ac:dyDescent="0.35"/>
  <cols>
    <col min="1" max="1" width="6.25" style="4" customWidth="1"/>
    <col min="2" max="2" width="10.375" style="3" bestFit="1" customWidth="1"/>
    <col min="3" max="3" width="9" style="3" customWidth="1"/>
    <col min="4" max="4" width="8.375" style="3" bestFit="1" customWidth="1"/>
    <col min="5" max="5" width="7.375" style="3" bestFit="1" customWidth="1"/>
    <col min="6" max="6" width="10.125" style="2" customWidth="1"/>
    <col min="7" max="7" width="9" style="1"/>
    <col min="8" max="8" width="5" style="1" customWidth="1"/>
    <col min="9" max="9" width="4" style="1" bestFit="1" customWidth="1"/>
    <col min="10" max="10" width="5" style="1" customWidth="1"/>
    <col min="11" max="11" width="4" style="1" bestFit="1" customWidth="1"/>
    <col min="12" max="12" width="5" style="1" customWidth="1"/>
    <col min="13" max="13" width="4" style="1" bestFit="1" customWidth="1"/>
    <col min="14" max="15" width="2.75" style="1" customWidth="1"/>
    <col min="16" max="31" width="3" style="1" customWidth="1"/>
    <col min="32" max="34" width="3.875" style="1" customWidth="1"/>
    <col min="35" max="35" width="4.25" style="1" customWidth="1"/>
    <col min="36" max="36" width="9.25" style="1" bestFit="1" customWidth="1"/>
    <col min="37" max="37" width="9.375" style="1" bestFit="1" customWidth="1"/>
    <col min="38" max="16384" width="9" style="1"/>
  </cols>
  <sheetData>
    <row r="1" spans="1:37" ht="18.75" customHeight="1" x14ac:dyDescent="0.35">
      <c r="A1" s="46" t="s">
        <v>35</v>
      </c>
      <c r="B1" s="46"/>
      <c r="C1" s="45" t="s">
        <v>34</v>
      </c>
      <c r="D1" s="44"/>
      <c r="E1" s="1"/>
      <c r="F1" s="1"/>
      <c r="H1" s="43" t="s">
        <v>33</v>
      </c>
      <c r="I1" s="42"/>
      <c r="J1" s="41"/>
      <c r="K1" s="41"/>
      <c r="L1" s="41"/>
      <c r="M1" s="40"/>
      <c r="O1" s="1" t="s">
        <v>33</v>
      </c>
      <c r="P1" s="37">
        <v>2007</v>
      </c>
      <c r="Q1" s="36">
        <v>2008</v>
      </c>
      <c r="R1" s="36">
        <v>2009</v>
      </c>
      <c r="S1" s="36">
        <v>2010</v>
      </c>
      <c r="T1" s="36">
        <v>2011</v>
      </c>
      <c r="U1" s="36">
        <v>2012</v>
      </c>
      <c r="V1" s="36">
        <v>2013</v>
      </c>
      <c r="W1" s="36">
        <v>2014</v>
      </c>
      <c r="X1" s="36">
        <v>2015</v>
      </c>
      <c r="Y1" s="36">
        <v>2016</v>
      </c>
      <c r="Z1" s="36">
        <v>2017</v>
      </c>
      <c r="AA1" s="36">
        <v>2018</v>
      </c>
      <c r="AB1" s="36">
        <v>2019</v>
      </c>
      <c r="AC1" s="36">
        <v>2020</v>
      </c>
      <c r="AD1" s="36">
        <v>2021</v>
      </c>
      <c r="AE1" s="35">
        <v>2022</v>
      </c>
      <c r="AF1" s="35">
        <v>2023</v>
      </c>
      <c r="AG1" s="35">
        <v>2024</v>
      </c>
      <c r="AH1" s="35">
        <v>2025</v>
      </c>
      <c r="AI1" s="35">
        <v>2026</v>
      </c>
      <c r="AJ1" s="1" t="s">
        <v>32</v>
      </c>
      <c r="AK1" s="34">
        <f>G9/(MAX(C16:C1048576)-MIN(C16:C1048576)+1)</f>
        <v>12.75</v>
      </c>
    </row>
    <row r="2" spans="1:37" x14ac:dyDescent="0.35">
      <c r="A2" s="3" t="s">
        <v>9</v>
      </c>
      <c r="B2" s="3">
        <f>COUNTIF($E:$E,A2)</f>
        <v>8</v>
      </c>
      <c r="C2" s="39" t="s">
        <v>14</v>
      </c>
      <c r="D2" s="39">
        <f ca="1">COUNTIF($F:$F,C2)</f>
        <v>2</v>
      </c>
      <c r="E2" s="1"/>
      <c r="F2" s="1"/>
      <c r="H2" s="38"/>
      <c r="I2" s="38"/>
      <c r="J2" s="16">
        <v>2010</v>
      </c>
      <c r="K2" s="3">
        <f>COUNTIF($C:$C,J2)</f>
        <v>13</v>
      </c>
      <c r="L2" s="16">
        <v>2020</v>
      </c>
      <c r="M2" s="3">
        <f>COUNTIF($C:$C,L2)</f>
        <v>3</v>
      </c>
      <c r="O2" s="1" t="s">
        <v>31</v>
      </c>
      <c r="P2" s="37">
        <f>COUNTIF($C:$C,P1)</f>
        <v>3</v>
      </c>
      <c r="Q2" s="36">
        <f>COUNTIF($C:$C,Q1)</f>
        <v>10</v>
      </c>
      <c r="R2" s="36">
        <f>COUNTIF($C:$C,R1)</f>
        <v>11</v>
      </c>
      <c r="S2" s="36">
        <f>COUNTIF($C:$C,S1)</f>
        <v>13</v>
      </c>
      <c r="T2" s="36">
        <f>COUNTIF($C:$C,T1)</f>
        <v>10</v>
      </c>
      <c r="U2" s="36">
        <f>COUNTIF($C:$C,U1)</f>
        <v>11</v>
      </c>
      <c r="V2" s="36">
        <f>COUNTIF($C:$C,V1)</f>
        <v>13</v>
      </c>
      <c r="W2" s="36">
        <f>COUNTIF($C:$C,W1)</f>
        <v>13</v>
      </c>
      <c r="X2" s="36">
        <f>COUNTIF($C:$C,X1)</f>
        <v>15</v>
      </c>
      <c r="Y2" s="36">
        <f>COUNTIF($C:$C,Y1)</f>
        <v>15</v>
      </c>
      <c r="Z2" s="36">
        <f>COUNTIF($C:$C,Z1)</f>
        <v>16</v>
      </c>
      <c r="AA2" s="36">
        <f>COUNTIF($C:$C,AA1)</f>
        <v>5</v>
      </c>
      <c r="AB2" s="36">
        <f>COUNTIF($C:$C,AB1)</f>
        <v>0</v>
      </c>
      <c r="AC2" s="36">
        <f>COUNTIF($C:$C,AC1)</f>
        <v>3</v>
      </c>
      <c r="AD2" s="36">
        <f>COUNTIF($C:$C,AD1)</f>
        <v>16</v>
      </c>
      <c r="AE2" s="35">
        <f>COUNTIF($C:$C,AE1)</f>
        <v>18</v>
      </c>
      <c r="AF2" s="35">
        <f>COUNTIF($C:$C,AF1)</f>
        <v>21</v>
      </c>
      <c r="AG2" s="35">
        <f>COUNTIF($C:$C,AG1)</f>
        <v>24</v>
      </c>
      <c r="AH2" s="35">
        <f>COUNTIF($C:$C,AH1)</f>
        <v>24</v>
      </c>
      <c r="AI2" s="35">
        <f>COUNTIF($C:$C,AI1)</f>
        <v>14</v>
      </c>
    </row>
    <row r="3" spans="1:37" x14ac:dyDescent="0.35">
      <c r="A3" s="3" t="s">
        <v>1</v>
      </c>
      <c r="B3" s="3">
        <f>COUNTIF($E:$E,A3)</f>
        <v>157</v>
      </c>
      <c r="C3" s="3" t="s">
        <v>11</v>
      </c>
      <c r="D3" s="3">
        <f ca="1">COUNTIF($F:$F,C3)</f>
        <v>71</v>
      </c>
      <c r="E3" s="1"/>
      <c r="F3" s="1"/>
      <c r="H3" s="30"/>
      <c r="I3" s="30"/>
      <c r="J3" s="16">
        <v>2011</v>
      </c>
      <c r="K3" s="3">
        <f>COUNTIF($C:$C,J3)</f>
        <v>10</v>
      </c>
      <c r="L3" s="16">
        <v>2021</v>
      </c>
      <c r="M3" s="3">
        <f>COUNTIF($C:$C,L3)</f>
        <v>16</v>
      </c>
      <c r="O3" s="1" t="s">
        <v>30</v>
      </c>
      <c r="P3" s="1">
        <f>P2</f>
        <v>3</v>
      </c>
      <c r="Q3" s="1">
        <f>P3+Q2</f>
        <v>13</v>
      </c>
      <c r="R3" s="1">
        <f>Q3+R2</f>
        <v>24</v>
      </c>
      <c r="S3" s="1">
        <f>R3+S2</f>
        <v>37</v>
      </c>
      <c r="T3" s="1">
        <f>S3+T2</f>
        <v>47</v>
      </c>
      <c r="U3" s="1">
        <f>T3+U2</f>
        <v>58</v>
      </c>
      <c r="V3" s="1">
        <f>U3+V2</f>
        <v>71</v>
      </c>
      <c r="W3" s="1">
        <f>V3+W2</f>
        <v>84</v>
      </c>
      <c r="X3" s="1">
        <f>W3+X2</f>
        <v>99</v>
      </c>
      <c r="Y3" s="1">
        <f>X3+Y2</f>
        <v>114</v>
      </c>
      <c r="Z3" s="1">
        <f>Y3+Z2</f>
        <v>130</v>
      </c>
      <c r="AA3" s="1">
        <f>Z3+AA2</f>
        <v>135</v>
      </c>
      <c r="AB3" s="1">
        <f>AA3+AB2</f>
        <v>135</v>
      </c>
      <c r="AC3" s="1">
        <f>AB3+AC2</f>
        <v>138</v>
      </c>
      <c r="AD3" s="1">
        <f>AC3+AD2</f>
        <v>154</v>
      </c>
      <c r="AE3" s="1">
        <f>AD3+AE2</f>
        <v>172</v>
      </c>
      <c r="AF3" s="1">
        <f>AE3+AF2</f>
        <v>193</v>
      </c>
      <c r="AG3" s="1">
        <f>AF3+AG2</f>
        <v>217</v>
      </c>
      <c r="AH3" s="1">
        <f>AG3+AH2</f>
        <v>241</v>
      </c>
      <c r="AI3" s="1">
        <f>AH3+AI2</f>
        <v>255</v>
      </c>
    </row>
    <row r="4" spans="1:37" x14ac:dyDescent="0.35">
      <c r="A4" s="24" t="s">
        <v>8</v>
      </c>
      <c r="B4" s="24">
        <f>COUNTIF($E:$E,A4)</f>
        <v>90</v>
      </c>
      <c r="C4" s="23" t="s">
        <v>16</v>
      </c>
      <c r="D4" s="23">
        <f ca="1">COUNTIF($F:$F,C4)</f>
        <v>1</v>
      </c>
      <c r="E4" s="1"/>
      <c r="F4" s="1"/>
      <c r="H4" s="30"/>
      <c r="I4" s="30"/>
      <c r="J4" s="16">
        <v>2012</v>
      </c>
      <c r="K4" s="3">
        <f>COUNTIF($C:$C,J4)</f>
        <v>11</v>
      </c>
      <c r="L4" s="16">
        <v>2022</v>
      </c>
      <c r="M4" s="3">
        <f>COUNTIF($C:$C,L4)</f>
        <v>18</v>
      </c>
      <c r="O4" s="1" t="s">
        <v>29</v>
      </c>
      <c r="P4" s="34">
        <f>P3/1</f>
        <v>3</v>
      </c>
      <c r="Q4" s="34">
        <f>Q3/2</f>
        <v>6.5</v>
      </c>
      <c r="R4" s="34">
        <f>R3/3</f>
        <v>8</v>
      </c>
      <c r="S4" s="34">
        <f>S3/4</f>
        <v>9.25</v>
      </c>
      <c r="T4" s="34">
        <f>T3/5</f>
        <v>9.4</v>
      </c>
      <c r="U4" s="34">
        <f>U3/6</f>
        <v>9.6666666666666661</v>
      </c>
      <c r="V4" s="34">
        <f>V3/7</f>
        <v>10.142857142857142</v>
      </c>
      <c r="W4" s="34">
        <f>W3/8</f>
        <v>10.5</v>
      </c>
      <c r="X4" s="34">
        <f>X3/9</f>
        <v>11</v>
      </c>
      <c r="Y4" s="34">
        <f>Y3/10</f>
        <v>11.4</v>
      </c>
      <c r="Z4" s="34">
        <f>Z3/11</f>
        <v>11.818181818181818</v>
      </c>
      <c r="AA4" s="34">
        <f>AA3/12</f>
        <v>11.25</v>
      </c>
      <c r="AB4" s="34">
        <f>AB3/13</f>
        <v>10.384615384615385</v>
      </c>
      <c r="AC4" s="34">
        <f>AC3/14</f>
        <v>9.8571428571428577</v>
      </c>
      <c r="AD4" s="34">
        <f>AD3/15</f>
        <v>10.266666666666667</v>
      </c>
      <c r="AE4" s="34">
        <f>AE3/16</f>
        <v>10.75</v>
      </c>
      <c r="AF4" s="34">
        <f>AF3/17</f>
        <v>11.352941176470589</v>
      </c>
      <c r="AG4" s="34">
        <f>AG3/18</f>
        <v>12.055555555555555</v>
      </c>
      <c r="AH4" s="34">
        <f>AH3/19</f>
        <v>12.684210526315789</v>
      </c>
      <c r="AI4" s="34">
        <f>AI3/19</f>
        <v>13.421052631578947</v>
      </c>
    </row>
    <row r="5" spans="1:37" x14ac:dyDescent="0.35">
      <c r="A5" s="1"/>
      <c r="B5" s="1"/>
      <c r="C5" s="29" t="s">
        <v>15</v>
      </c>
      <c r="D5" s="3">
        <f ca="1">COUNTIF($F:$F,C5)</f>
        <v>1</v>
      </c>
      <c r="E5" s="1"/>
      <c r="F5" s="1"/>
      <c r="H5" s="30"/>
      <c r="I5" s="30"/>
      <c r="J5" s="16">
        <v>2013</v>
      </c>
      <c r="K5" s="3">
        <f>COUNTIF($C:$C,J5)</f>
        <v>13</v>
      </c>
      <c r="L5" s="15">
        <v>2023</v>
      </c>
      <c r="M5" s="12">
        <f>COUNTIF($C:$C,L5)</f>
        <v>21</v>
      </c>
    </row>
    <row r="6" spans="1:37" x14ac:dyDescent="0.35">
      <c r="A6" s="1"/>
      <c r="B6" s="1"/>
      <c r="C6" s="3" t="s">
        <v>12</v>
      </c>
      <c r="D6" s="3">
        <f ca="1">COUNTIF($F:$F,C6)</f>
        <v>18</v>
      </c>
      <c r="E6" s="1"/>
      <c r="F6" s="33"/>
      <c r="H6" s="30"/>
      <c r="I6" s="30"/>
      <c r="J6" s="16">
        <v>2014</v>
      </c>
      <c r="K6" s="3">
        <f>COUNTIF($C:$C,J6)</f>
        <v>13</v>
      </c>
      <c r="L6" s="15">
        <v>2024</v>
      </c>
      <c r="M6" s="12">
        <f>COUNTIF($C:$C,L6)</f>
        <v>24</v>
      </c>
    </row>
    <row r="7" spans="1:37" x14ac:dyDescent="0.35">
      <c r="A7" s="1"/>
      <c r="B7" s="1"/>
      <c r="C7" s="3" t="s">
        <v>10</v>
      </c>
      <c r="D7" s="3">
        <f ca="1">COUNTIF($F:$F,C7)</f>
        <v>64</v>
      </c>
      <c r="E7" s="1"/>
      <c r="F7" s="32" t="s">
        <v>28</v>
      </c>
      <c r="G7" s="31"/>
      <c r="H7" s="30"/>
      <c r="I7" s="30"/>
      <c r="J7" s="16">
        <v>2015</v>
      </c>
      <c r="K7" s="3">
        <f>COUNTIF($C:$C,J7)</f>
        <v>15</v>
      </c>
      <c r="L7" s="15">
        <v>2025</v>
      </c>
      <c r="M7" s="12">
        <f>COUNTIF($C:$C,L7)</f>
        <v>24</v>
      </c>
    </row>
    <row r="8" spans="1:37" x14ac:dyDescent="0.35">
      <c r="A8" s="1"/>
      <c r="B8" s="1"/>
      <c r="C8" s="29" t="s">
        <v>13</v>
      </c>
      <c r="D8" s="3">
        <f ca="1">COUNTIF($F:$F,C8)</f>
        <v>1</v>
      </c>
      <c r="E8" s="1"/>
      <c r="F8" s="28" t="str">
        <f ca="1">DATEDIF(B16,NOW(),"Y")&amp;"年"&amp;DATEDIF(B16,NOW(),"YM")&amp;"か月"&amp;DATEDIF(B16,NOW(),"MD")&amp;"日"</f>
        <v>19年4か月19日</v>
      </c>
      <c r="G8" s="27"/>
      <c r="H8" s="26"/>
      <c r="I8" s="26"/>
      <c r="J8" s="16">
        <v>2016</v>
      </c>
      <c r="K8" s="3">
        <f>COUNTIF($C:$C,J8)</f>
        <v>15</v>
      </c>
      <c r="L8" s="25">
        <v>2026</v>
      </c>
      <c r="M8" s="24">
        <f>COUNTIF($C:$C,L8)</f>
        <v>14</v>
      </c>
    </row>
    <row r="9" spans="1:37" x14ac:dyDescent="0.35">
      <c r="A9" s="1"/>
      <c r="B9" s="1"/>
      <c r="C9" s="23" t="s">
        <v>7</v>
      </c>
      <c r="D9" s="23">
        <f ca="1">COUNTIF($F:$F,C9)</f>
        <v>36</v>
      </c>
      <c r="E9" s="1"/>
      <c r="F9" s="22" t="s">
        <v>27</v>
      </c>
      <c r="G9" s="21">
        <f>SUM(B2:B4)</f>
        <v>255</v>
      </c>
      <c r="H9" s="20">
        <v>2007</v>
      </c>
      <c r="I9" s="19">
        <f>COUNTIF($C:$C,H9)</f>
        <v>3</v>
      </c>
      <c r="J9" s="16">
        <v>2017</v>
      </c>
      <c r="K9" s="3">
        <f>COUNTIF($C:$C,J9)</f>
        <v>16</v>
      </c>
    </row>
    <row r="10" spans="1:37" x14ac:dyDescent="0.35">
      <c r="A10" s="1"/>
      <c r="B10" s="1"/>
      <c r="C10" s="16" t="s">
        <v>0</v>
      </c>
      <c r="D10" s="3">
        <f ca="1">COUNTIF($F:$F,C10)</f>
        <v>46</v>
      </c>
      <c r="E10" s="1"/>
      <c r="F10" s="18"/>
      <c r="G10" s="17"/>
      <c r="H10" s="16">
        <v>2008</v>
      </c>
      <c r="I10" s="3">
        <f>COUNTIF($C:$C,H10)</f>
        <v>10</v>
      </c>
      <c r="J10" s="16">
        <v>2018</v>
      </c>
      <c r="K10" s="3">
        <f>COUNTIF($C:$C,J10)</f>
        <v>5</v>
      </c>
    </row>
    <row r="11" spans="1:37" x14ac:dyDescent="0.35">
      <c r="A11" s="1"/>
      <c r="B11" s="1"/>
      <c r="C11" s="3" t="s">
        <v>5</v>
      </c>
      <c r="D11" s="3">
        <f ca="1">COUNTIF($F:$F,C11)</f>
        <v>3</v>
      </c>
      <c r="E11" s="1"/>
      <c r="F11" s="1"/>
      <c r="H11" s="15">
        <v>2009</v>
      </c>
      <c r="I11" s="12">
        <f>COUNTIF($C:$C,H11)</f>
        <v>11</v>
      </c>
      <c r="J11" s="15">
        <v>2019</v>
      </c>
      <c r="K11" s="12">
        <f>COUNTIF($C:$C,J11)</f>
        <v>0</v>
      </c>
    </row>
    <row r="12" spans="1:37" x14ac:dyDescent="0.35">
      <c r="A12" s="1"/>
      <c r="B12" s="1"/>
      <c r="C12" s="3" t="s">
        <v>2</v>
      </c>
      <c r="D12" s="3">
        <f ca="1">COUNTIF($F:$F,C12)</f>
        <v>10</v>
      </c>
      <c r="E12" s="1"/>
      <c r="F12" s="1"/>
      <c r="H12" s="14" t="s">
        <v>26</v>
      </c>
      <c r="I12" s="13">
        <f>AVERAGE(I2:I11)</f>
        <v>8</v>
      </c>
      <c r="J12" s="14" t="s">
        <v>25</v>
      </c>
      <c r="K12" s="13">
        <f>AVERAGE(K2:K11)</f>
        <v>11.1</v>
      </c>
      <c r="L12" s="14" t="s">
        <v>24</v>
      </c>
      <c r="M12" s="13">
        <f>AVERAGE(M2:M11)</f>
        <v>17.142857142857142</v>
      </c>
    </row>
    <row r="13" spans="1:37" x14ac:dyDescent="0.35">
      <c r="A13" s="1"/>
      <c r="B13" s="1"/>
      <c r="C13" s="3" t="s">
        <v>4</v>
      </c>
      <c r="D13" s="3">
        <f ca="1">COUNTIF($F:$F,C13)</f>
        <v>1</v>
      </c>
      <c r="E13" s="1"/>
      <c r="F13" s="1"/>
      <c r="H13" s="11"/>
      <c r="J13" s="11"/>
    </row>
    <row r="14" spans="1:37" ht="18.75" thickBot="1" x14ac:dyDescent="0.4">
      <c r="A14" s="1"/>
      <c r="B14" s="1"/>
      <c r="C14" s="12" t="s">
        <v>3</v>
      </c>
      <c r="D14" s="12">
        <f ca="1">COUNTIF($F:$F,C14)</f>
        <v>1</v>
      </c>
      <c r="E14" s="1" t="s">
        <v>23</v>
      </c>
      <c r="F14" s="1"/>
      <c r="H14" s="11"/>
      <c r="J14" s="11"/>
    </row>
    <row r="15" spans="1:37" x14ac:dyDescent="0.35">
      <c r="A15" s="10" t="s">
        <v>22</v>
      </c>
      <c r="B15" s="9" t="s">
        <v>21</v>
      </c>
      <c r="C15" s="8" t="s">
        <v>20</v>
      </c>
      <c r="D15" s="8" t="s">
        <v>19</v>
      </c>
      <c r="E15" s="8" t="s">
        <v>18</v>
      </c>
      <c r="F15" s="7" t="s">
        <v>17</v>
      </c>
    </row>
    <row r="16" spans="1:37" x14ac:dyDescent="0.35">
      <c r="A16" s="4">
        <f>IF(B16&lt;&gt;"",ROW()-15,"")</f>
        <v>1</v>
      </c>
      <c r="B16" s="5">
        <v>39150</v>
      </c>
      <c r="C16" s="3">
        <f>YEAR(B16)</f>
        <v>2007</v>
      </c>
      <c r="D16" s="3" t="str">
        <f>YEAR(B16)&amp;"/"&amp;MONTH(B16)</f>
        <v>2007/3</v>
      </c>
      <c r="E16" s="3" t="s">
        <v>9</v>
      </c>
      <c r="F16" s="2" t="s">
        <v>14</v>
      </c>
    </row>
    <row r="17" spans="1:6" x14ac:dyDescent="0.35">
      <c r="A17" s="4">
        <f>IF(B17&lt;&gt;"",ROW()-15,"")</f>
        <v>2</v>
      </c>
      <c r="B17" s="5">
        <v>39354</v>
      </c>
      <c r="C17" s="3">
        <f>YEAR(B17)</f>
        <v>2007</v>
      </c>
      <c r="D17" s="3" t="str">
        <f>YEAR(B17)&amp;"/"&amp;MONTH(B17)</f>
        <v>2007/9</v>
      </c>
      <c r="E17" s="3" t="s">
        <v>9</v>
      </c>
      <c r="F17" s="2" t="s">
        <v>11</v>
      </c>
    </row>
    <row r="18" spans="1:6" x14ac:dyDescent="0.35">
      <c r="A18" s="4">
        <f>IF(B18&lt;&gt;"",ROW()-15,"")</f>
        <v>3</v>
      </c>
      <c r="B18" s="5">
        <v>39440</v>
      </c>
      <c r="C18" s="3">
        <f>YEAR(B18)</f>
        <v>2007</v>
      </c>
      <c r="D18" s="3" t="str">
        <f>YEAR(B18)&amp;"/"&amp;MONTH(B18)</f>
        <v>2007/12</v>
      </c>
      <c r="E18" s="3" t="s">
        <v>1</v>
      </c>
      <c r="F18" s="2" t="s">
        <v>11</v>
      </c>
    </row>
    <row r="19" spans="1:6" x14ac:dyDescent="0.35">
      <c r="A19" s="4">
        <f>IF(B19&lt;&gt;"",ROW()-15,"")</f>
        <v>4</v>
      </c>
      <c r="B19" s="5">
        <v>39474</v>
      </c>
      <c r="C19" s="3">
        <f>YEAR(B19)</f>
        <v>2008</v>
      </c>
      <c r="D19" s="3" t="str">
        <f>YEAR(B19)&amp;"/"&amp;MONTH(B19)</f>
        <v>2008/1</v>
      </c>
      <c r="E19" s="3" t="s">
        <v>1</v>
      </c>
      <c r="F19" s="2" t="s">
        <v>11</v>
      </c>
    </row>
    <row r="20" spans="1:6" x14ac:dyDescent="0.35">
      <c r="A20" s="4">
        <f>IF(B20&lt;&gt;"",ROW()-15,"")</f>
        <v>5</v>
      </c>
      <c r="B20" s="5">
        <v>39527</v>
      </c>
      <c r="C20" s="3">
        <f>YEAR(B20)</f>
        <v>2008</v>
      </c>
      <c r="D20" s="3" t="str">
        <f>YEAR(B20)&amp;"/"&amp;MONTH(B20)</f>
        <v>2008/3</v>
      </c>
      <c r="E20" s="3" t="s">
        <v>8</v>
      </c>
      <c r="F20" s="2" t="s">
        <v>11</v>
      </c>
    </row>
    <row r="21" spans="1:6" x14ac:dyDescent="0.35">
      <c r="A21" s="4">
        <f>IF(B21&lt;&gt;"",ROW()-15,"")</f>
        <v>6</v>
      </c>
      <c r="B21" s="5">
        <v>39550</v>
      </c>
      <c r="C21" s="3">
        <f>YEAR(B21)</f>
        <v>2008</v>
      </c>
      <c r="D21" s="3" t="str">
        <f>YEAR(B21)&amp;"/"&amp;MONTH(B21)</f>
        <v>2008/4</v>
      </c>
      <c r="E21" s="3" t="s">
        <v>8</v>
      </c>
      <c r="F21" s="2" t="s">
        <v>11</v>
      </c>
    </row>
    <row r="22" spans="1:6" x14ac:dyDescent="0.35">
      <c r="A22" s="4">
        <f>IF(B22&lt;&gt;"",ROW()-15,"")</f>
        <v>7</v>
      </c>
      <c r="B22" s="5">
        <v>39565</v>
      </c>
      <c r="C22" s="3">
        <f>YEAR(B22)</f>
        <v>2008</v>
      </c>
      <c r="D22" s="3" t="str">
        <f>YEAR(B22)&amp;"/"&amp;MONTH(B22)</f>
        <v>2008/4</v>
      </c>
      <c r="E22" s="3" t="s">
        <v>8</v>
      </c>
      <c r="F22" s="2" t="s">
        <v>11</v>
      </c>
    </row>
    <row r="23" spans="1:6" x14ac:dyDescent="0.35">
      <c r="A23" s="4">
        <f>IF(B23&lt;&gt;"",ROW()-15,"")</f>
        <v>8</v>
      </c>
      <c r="B23" s="5">
        <v>39592</v>
      </c>
      <c r="C23" s="3">
        <f>YEAR(B23)</f>
        <v>2008</v>
      </c>
      <c r="D23" s="3" t="str">
        <f>YEAR(B23)&amp;"/"&amp;MONTH(B23)</f>
        <v>2008/5</v>
      </c>
      <c r="E23" s="3" t="s">
        <v>1</v>
      </c>
      <c r="F23" s="2" t="s">
        <v>11</v>
      </c>
    </row>
    <row r="24" spans="1:6" x14ac:dyDescent="0.35">
      <c r="A24" s="4">
        <f>IF(B24&lt;&gt;"",ROW()-15,"")</f>
        <v>9</v>
      </c>
      <c r="B24" s="5">
        <v>39628</v>
      </c>
      <c r="C24" s="3">
        <f>YEAR(B24)</f>
        <v>2008</v>
      </c>
      <c r="D24" s="3" t="str">
        <f>YEAR(B24)&amp;"/"&amp;MONTH(B24)</f>
        <v>2008/6</v>
      </c>
      <c r="E24" s="3" t="s">
        <v>1</v>
      </c>
      <c r="F24" s="2" t="s">
        <v>11</v>
      </c>
    </row>
    <row r="25" spans="1:6" x14ac:dyDescent="0.35">
      <c r="A25" s="4">
        <f>IF(B25&lt;&gt;"",ROW()-15,"")</f>
        <v>10</v>
      </c>
      <c r="B25" s="5">
        <v>39662</v>
      </c>
      <c r="C25" s="3">
        <f>YEAR(B25)</f>
        <v>2008</v>
      </c>
      <c r="D25" s="3" t="str">
        <f>YEAR(B25)&amp;"/"&amp;MONTH(B25)</f>
        <v>2008/8</v>
      </c>
      <c r="E25" s="3" t="s">
        <v>8</v>
      </c>
      <c r="F25" s="2" t="s">
        <v>11</v>
      </c>
    </row>
    <row r="26" spans="1:6" x14ac:dyDescent="0.35">
      <c r="A26" s="4">
        <f>IF(B26&lt;&gt;"",ROW()-15,"")</f>
        <v>11</v>
      </c>
      <c r="B26" s="5">
        <v>39726</v>
      </c>
      <c r="C26" s="3">
        <f>YEAR(B26)</f>
        <v>2008</v>
      </c>
      <c r="D26" s="3" t="str">
        <f>YEAR(B26)&amp;"/"&amp;MONTH(B26)</f>
        <v>2008/10</v>
      </c>
      <c r="E26" s="3" t="s">
        <v>1</v>
      </c>
      <c r="F26" s="2" t="s">
        <v>11</v>
      </c>
    </row>
    <row r="27" spans="1:6" x14ac:dyDescent="0.35">
      <c r="A27" s="4">
        <f>IF(B27&lt;&gt;"",ROW()-15,"")</f>
        <v>12</v>
      </c>
      <c r="B27" s="5">
        <v>39753</v>
      </c>
      <c r="C27" s="3">
        <f>YEAR(B27)</f>
        <v>2008</v>
      </c>
      <c r="D27" s="3" t="str">
        <f>YEAR(B27)&amp;"/"&amp;MONTH(B27)</f>
        <v>2008/11</v>
      </c>
      <c r="E27" s="3" t="s">
        <v>1</v>
      </c>
      <c r="F27" s="2" t="s">
        <v>11</v>
      </c>
    </row>
    <row r="28" spans="1:6" x14ac:dyDescent="0.35">
      <c r="A28" s="4">
        <f>IF(B28&lt;&gt;"",ROW()-15,"")</f>
        <v>13</v>
      </c>
      <c r="B28" s="5">
        <v>39768</v>
      </c>
      <c r="C28" s="3">
        <f>YEAR(B28)</f>
        <v>2008</v>
      </c>
      <c r="D28" s="3" t="str">
        <f>YEAR(B28)&amp;"/"&amp;MONTH(B28)</f>
        <v>2008/11</v>
      </c>
      <c r="E28" s="3" t="s">
        <v>8</v>
      </c>
      <c r="F28" s="2" t="s">
        <v>11</v>
      </c>
    </row>
    <row r="29" spans="1:6" x14ac:dyDescent="0.35">
      <c r="A29" s="4">
        <f>IF(B29&lt;&gt;"",ROW()-15,"")</f>
        <v>14</v>
      </c>
      <c r="B29" s="5">
        <v>39817</v>
      </c>
      <c r="C29" s="3">
        <f>YEAR(B29)</f>
        <v>2009</v>
      </c>
      <c r="D29" s="3" t="str">
        <f>YEAR(B29)&amp;"/"&amp;MONTH(B29)</f>
        <v>2009/1</v>
      </c>
      <c r="E29" s="3" t="s">
        <v>8</v>
      </c>
      <c r="F29" s="2" t="s">
        <v>11</v>
      </c>
    </row>
    <row r="30" spans="1:6" x14ac:dyDescent="0.35">
      <c r="A30" s="4">
        <f>IF(B30&lt;&gt;"",ROW()-15,"")</f>
        <v>15</v>
      </c>
      <c r="B30" s="5">
        <v>39866</v>
      </c>
      <c r="C30" s="3">
        <f>YEAR(B30)</f>
        <v>2009</v>
      </c>
      <c r="D30" s="3" t="str">
        <f>YEAR(B30)&amp;"/"&amp;MONTH(B30)</f>
        <v>2009/2</v>
      </c>
      <c r="E30" s="3" t="s">
        <v>8</v>
      </c>
      <c r="F30" s="2" t="s">
        <v>11</v>
      </c>
    </row>
    <row r="31" spans="1:6" x14ac:dyDescent="0.35">
      <c r="A31" s="4">
        <f>IF(B31&lt;&gt;"",ROW()-15,"")</f>
        <v>16</v>
      </c>
      <c r="B31" s="5">
        <v>39892</v>
      </c>
      <c r="C31" s="3">
        <f>YEAR(B31)</f>
        <v>2009</v>
      </c>
      <c r="D31" s="3" t="str">
        <f>YEAR(B31)&amp;"/"&amp;MONTH(B31)</f>
        <v>2009/3</v>
      </c>
      <c r="E31" s="3" t="s">
        <v>8</v>
      </c>
      <c r="F31" s="2" t="s">
        <v>11</v>
      </c>
    </row>
    <row r="32" spans="1:6" x14ac:dyDescent="0.35">
      <c r="A32" s="4">
        <f>IF(B32&lt;&gt;"",ROW()-15,"")</f>
        <v>17</v>
      </c>
      <c r="B32" s="5">
        <v>39934</v>
      </c>
      <c r="C32" s="3">
        <f>YEAR(B32)</f>
        <v>2009</v>
      </c>
      <c r="D32" s="3" t="str">
        <f>YEAR(B32)&amp;"/"&amp;MONTH(B32)</f>
        <v>2009/5</v>
      </c>
      <c r="E32" s="3" t="s">
        <v>1</v>
      </c>
      <c r="F32" s="2" t="s">
        <v>11</v>
      </c>
    </row>
    <row r="33" spans="1:6" x14ac:dyDescent="0.35">
      <c r="A33" s="4">
        <f>IF(B33&lt;&gt;"",ROW()-15,"")</f>
        <v>18</v>
      </c>
      <c r="B33" s="5">
        <v>39970</v>
      </c>
      <c r="C33" s="3">
        <f>YEAR(B33)</f>
        <v>2009</v>
      </c>
      <c r="D33" s="3" t="str">
        <f>YEAR(B33)&amp;"/"&amp;MONTH(B33)</f>
        <v>2009/6</v>
      </c>
      <c r="E33" s="3" t="s">
        <v>1</v>
      </c>
      <c r="F33" s="2" t="s">
        <v>11</v>
      </c>
    </row>
    <row r="34" spans="1:6" x14ac:dyDescent="0.35">
      <c r="A34" s="4">
        <f>IF(B34&lt;&gt;"",ROW()-15,"")</f>
        <v>19</v>
      </c>
      <c r="B34" s="5">
        <v>39984</v>
      </c>
      <c r="C34" s="3">
        <f>YEAR(B34)</f>
        <v>2009</v>
      </c>
      <c r="D34" s="3" t="str">
        <f>YEAR(B34)&amp;"/"&amp;MONTH(B34)</f>
        <v>2009/6</v>
      </c>
      <c r="E34" s="3" t="s">
        <v>8</v>
      </c>
      <c r="F34" s="2" t="s">
        <v>11</v>
      </c>
    </row>
    <row r="35" spans="1:6" x14ac:dyDescent="0.35">
      <c r="A35" s="4">
        <f>IF(B35&lt;&gt;"",ROW()-15,"")</f>
        <v>20</v>
      </c>
      <c r="B35" s="5">
        <v>39998</v>
      </c>
      <c r="C35" s="3">
        <f>YEAR(B35)</f>
        <v>2009</v>
      </c>
      <c r="D35" s="3" t="str">
        <f>YEAR(B35)&amp;"/"&amp;MONTH(B35)</f>
        <v>2009/7</v>
      </c>
      <c r="E35" s="3" t="s">
        <v>8</v>
      </c>
      <c r="F35" s="2" t="s">
        <v>11</v>
      </c>
    </row>
    <row r="36" spans="1:6" x14ac:dyDescent="0.35">
      <c r="A36" s="4">
        <f>IF(B36&lt;&gt;"",ROW()-15,"")</f>
        <v>21</v>
      </c>
      <c r="B36" s="5">
        <v>40016</v>
      </c>
      <c r="C36" s="3">
        <f>YEAR(B36)</f>
        <v>2009</v>
      </c>
      <c r="D36" s="3" t="str">
        <f>YEAR(B36)&amp;"/"&amp;MONTH(B36)</f>
        <v>2009/7</v>
      </c>
      <c r="E36" s="3" t="s">
        <v>8</v>
      </c>
      <c r="F36" s="2" t="s">
        <v>11</v>
      </c>
    </row>
    <row r="37" spans="1:6" x14ac:dyDescent="0.35">
      <c r="A37" s="4">
        <f>IF(B37&lt;&gt;"",ROW()-15,"")</f>
        <v>22</v>
      </c>
      <c r="B37" s="5">
        <v>40040</v>
      </c>
      <c r="C37" s="3">
        <f>YEAR(B37)</f>
        <v>2009</v>
      </c>
      <c r="D37" s="3" t="str">
        <f>YEAR(B37)&amp;"/"&amp;MONTH(B37)</f>
        <v>2009/8</v>
      </c>
      <c r="E37" s="3" t="s">
        <v>8</v>
      </c>
      <c r="F37" s="2" t="s">
        <v>11</v>
      </c>
    </row>
    <row r="38" spans="1:6" x14ac:dyDescent="0.35">
      <c r="A38" s="4">
        <f>IF(B38&lt;&gt;"",ROW()-15,"")</f>
        <v>23</v>
      </c>
      <c r="B38" s="5">
        <v>40143</v>
      </c>
      <c r="C38" s="3">
        <f>YEAR(B38)</f>
        <v>2009</v>
      </c>
      <c r="D38" s="3" t="str">
        <f>YEAR(B38)&amp;"/"&amp;MONTH(B38)</f>
        <v>2009/11</v>
      </c>
      <c r="E38" s="3" t="s">
        <v>8</v>
      </c>
      <c r="F38" s="2" t="s">
        <v>11</v>
      </c>
    </row>
    <row r="39" spans="1:6" x14ac:dyDescent="0.35">
      <c r="A39" s="4">
        <f>IF(B39&lt;&gt;"",ROW()-15,"")</f>
        <v>24</v>
      </c>
      <c r="B39" s="5">
        <v>40159</v>
      </c>
      <c r="C39" s="3">
        <f>YEAR(B39)</f>
        <v>2009</v>
      </c>
      <c r="D39" s="3" t="str">
        <f>YEAR(B39)&amp;"/"&amp;MONTH(B39)</f>
        <v>2009/12</v>
      </c>
      <c r="E39" s="3" t="s">
        <v>8</v>
      </c>
      <c r="F39" s="2" t="s">
        <v>11</v>
      </c>
    </row>
    <row r="40" spans="1:6" x14ac:dyDescent="0.35">
      <c r="A40" s="4">
        <f>IF(B40&lt;&gt;"",ROW()-15,"")</f>
        <v>25</v>
      </c>
      <c r="B40" s="5">
        <v>40234</v>
      </c>
      <c r="C40" s="3">
        <f>YEAR(B40)</f>
        <v>2010</v>
      </c>
      <c r="D40" s="3" t="str">
        <f>YEAR(B40)&amp;"/"&amp;MONTH(B40)</f>
        <v>2010/2</v>
      </c>
      <c r="E40" s="3" t="s">
        <v>1</v>
      </c>
      <c r="F40" s="2" t="s">
        <v>11</v>
      </c>
    </row>
    <row r="41" spans="1:6" x14ac:dyDescent="0.35">
      <c r="A41" s="4">
        <f>IF(B41&lt;&gt;"",ROW()-15,"")</f>
        <v>26</v>
      </c>
      <c r="B41" s="5">
        <v>40285</v>
      </c>
      <c r="C41" s="3">
        <f>YEAR(B41)</f>
        <v>2010</v>
      </c>
      <c r="D41" s="3" t="str">
        <f>YEAR(B41)&amp;"/"&amp;MONTH(B41)</f>
        <v>2010/4</v>
      </c>
      <c r="E41" s="3" t="s">
        <v>8</v>
      </c>
      <c r="F41" s="2" t="s">
        <v>11</v>
      </c>
    </row>
    <row r="42" spans="1:6" x14ac:dyDescent="0.35">
      <c r="A42" s="4">
        <f>IF(B42&lt;&gt;"",ROW()-15,"")</f>
        <v>27</v>
      </c>
      <c r="B42" s="5">
        <v>40300</v>
      </c>
      <c r="C42" s="3">
        <f>YEAR(B42)</f>
        <v>2010</v>
      </c>
      <c r="D42" s="3" t="str">
        <f>YEAR(B42)&amp;"/"&amp;MONTH(B42)</f>
        <v>2010/5</v>
      </c>
      <c r="E42" s="3" t="s">
        <v>1</v>
      </c>
      <c r="F42" s="2" t="s">
        <v>11</v>
      </c>
    </row>
    <row r="43" spans="1:6" x14ac:dyDescent="0.35">
      <c r="A43" s="4">
        <f>IF(B43&lt;&gt;"",ROW()-15,"")</f>
        <v>28</v>
      </c>
      <c r="B43" s="5">
        <v>40320</v>
      </c>
      <c r="C43" s="3">
        <f>YEAR(B43)</f>
        <v>2010</v>
      </c>
      <c r="D43" s="3" t="str">
        <f>YEAR(B43)&amp;"/"&amp;MONTH(B43)</f>
        <v>2010/5</v>
      </c>
      <c r="E43" s="3" t="s">
        <v>1</v>
      </c>
      <c r="F43" s="2" t="s">
        <v>11</v>
      </c>
    </row>
    <row r="44" spans="1:6" x14ac:dyDescent="0.35">
      <c r="A44" s="4">
        <f>IF(B44&lt;&gt;"",ROW()-15,"")</f>
        <v>29</v>
      </c>
      <c r="B44" s="5">
        <v>40348</v>
      </c>
      <c r="C44" s="3">
        <f>YEAR(B44)</f>
        <v>2010</v>
      </c>
      <c r="D44" s="3" t="str">
        <f>YEAR(B44)&amp;"/"&amp;MONTH(B44)</f>
        <v>2010/6</v>
      </c>
      <c r="E44" s="3" t="s">
        <v>1</v>
      </c>
      <c r="F44" s="2" t="s">
        <v>11</v>
      </c>
    </row>
    <row r="45" spans="1:6" x14ac:dyDescent="0.35">
      <c r="A45" s="4">
        <f>IF(B45&lt;&gt;"",ROW()-15,"")</f>
        <v>30</v>
      </c>
      <c r="B45" s="5">
        <v>40362</v>
      </c>
      <c r="C45" s="3">
        <f>YEAR(B45)</f>
        <v>2010</v>
      </c>
      <c r="D45" s="3" t="str">
        <f>YEAR(B45)&amp;"/"&amp;MONTH(B45)</f>
        <v>2010/7</v>
      </c>
      <c r="E45" s="3" t="s">
        <v>8</v>
      </c>
      <c r="F45" s="2" t="s">
        <v>11</v>
      </c>
    </row>
    <row r="46" spans="1:6" x14ac:dyDescent="0.35">
      <c r="A46" s="4">
        <f>IF(B46&lt;&gt;"",ROW()-15,"")</f>
        <v>31</v>
      </c>
      <c r="B46" s="5">
        <v>40378</v>
      </c>
      <c r="C46" s="3">
        <f>YEAR(B46)</f>
        <v>2010</v>
      </c>
      <c r="D46" s="3" t="str">
        <f>YEAR(B46)&amp;"/"&amp;MONTH(B46)</f>
        <v>2010/7</v>
      </c>
      <c r="E46" s="3" t="s">
        <v>1</v>
      </c>
      <c r="F46" s="2" t="s">
        <v>11</v>
      </c>
    </row>
    <row r="47" spans="1:6" x14ac:dyDescent="0.35">
      <c r="A47" s="4">
        <f>IF(B47&lt;&gt;"",ROW()-15,"")</f>
        <v>32</v>
      </c>
      <c r="B47" s="5">
        <v>40397</v>
      </c>
      <c r="C47" s="3">
        <f>YEAR(B47)</f>
        <v>2010</v>
      </c>
      <c r="D47" s="3" t="str">
        <f>YEAR(B47)&amp;"/"&amp;MONTH(B47)</f>
        <v>2010/8</v>
      </c>
      <c r="E47" s="3" t="s">
        <v>8</v>
      </c>
      <c r="F47" s="2" t="s">
        <v>11</v>
      </c>
    </row>
    <row r="48" spans="1:6" x14ac:dyDescent="0.35">
      <c r="A48" s="4">
        <f>IF(B48&lt;&gt;"",ROW()-15,"")</f>
        <v>33</v>
      </c>
      <c r="B48" s="5">
        <v>40412</v>
      </c>
      <c r="C48" s="3">
        <f>YEAR(B48)</f>
        <v>2010</v>
      </c>
      <c r="D48" s="3" t="str">
        <f>YEAR(B48)&amp;"/"&amp;MONTH(B48)</f>
        <v>2010/8</v>
      </c>
      <c r="E48" s="3" t="s">
        <v>1</v>
      </c>
      <c r="F48" s="2" t="s">
        <v>11</v>
      </c>
    </row>
    <row r="49" spans="1:6" x14ac:dyDescent="0.35">
      <c r="A49" s="4">
        <f>IF(B49&lt;&gt;"",ROW()-15,"")</f>
        <v>34</v>
      </c>
      <c r="B49" s="5">
        <v>40444</v>
      </c>
      <c r="C49" s="3">
        <f>YEAR(B49)</f>
        <v>2010</v>
      </c>
      <c r="D49" s="3" t="str">
        <f>YEAR(B49)&amp;"/"&amp;MONTH(B49)</f>
        <v>2010/9</v>
      </c>
      <c r="E49" s="3" t="s">
        <v>1</v>
      </c>
      <c r="F49" s="2" t="s">
        <v>11</v>
      </c>
    </row>
    <row r="50" spans="1:6" x14ac:dyDescent="0.35">
      <c r="A50" s="4">
        <f>IF(B50&lt;&gt;"",ROW()-15,"")</f>
        <v>35</v>
      </c>
      <c r="B50" s="5">
        <v>40461</v>
      </c>
      <c r="C50" s="3">
        <f>YEAR(B50)</f>
        <v>2010</v>
      </c>
      <c r="D50" s="3" t="str">
        <f>YEAR(B50)&amp;"/"&amp;MONTH(B50)</f>
        <v>2010/10</v>
      </c>
      <c r="E50" s="3" t="s">
        <v>8</v>
      </c>
      <c r="F50" s="2" t="s">
        <v>11</v>
      </c>
    </row>
    <row r="51" spans="1:6" x14ac:dyDescent="0.35">
      <c r="A51" s="4">
        <f>IF(B51&lt;&gt;"",ROW()-15,"")</f>
        <v>36</v>
      </c>
      <c r="B51" s="5">
        <v>40495</v>
      </c>
      <c r="C51" s="3">
        <f>YEAR(B51)</f>
        <v>2010</v>
      </c>
      <c r="D51" s="3" t="str">
        <f>YEAR(B51)&amp;"/"&amp;MONTH(B51)</f>
        <v>2010/11</v>
      </c>
      <c r="E51" s="3" t="s">
        <v>8</v>
      </c>
      <c r="F51" s="2" t="s">
        <v>11</v>
      </c>
    </row>
    <row r="52" spans="1:6" x14ac:dyDescent="0.35">
      <c r="A52" s="4">
        <f>IF(B52&lt;&gt;"",ROW()-15,"")</f>
        <v>37</v>
      </c>
      <c r="B52" s="5">
        <v>40509</v>
      </c>
      <c r="C52" s="3">
        <f>YEAR(B52)</f>
        <v>2010</v>
      </c>
      <c r="D52" s="3" t="str">
        <f>YEAR(B52)&amp;"/"&amp;MONTH(B52)</f>
        <v>2010/11</v>
      </c>
      <c r="E52" s="3" t="s">
        <v>8</v>
      </c>
      <c r="F52" s="2" t="s">
        <v>11</v>
      </c>
    </row>
    <row r="53" spans="1:6" x14ac:dyDescent="0.35">
      <c r="A53" s="4">
        <f>IF(B53&lt;&gt;"",ROW()-15,"")</f>
        <v>38</v>
      </c>
      <c r="B53" s="5">
        <v>40615</v>
      </c>
      <c r="C53" s="3">
        <f>YEAR(B53)</f>
        <v>2011</v>
      </c>
      <c r="D53" s="3" t="str">
        <f>YEAR(B53)&amp;"/"&amp;MONTH(B53)</f>
        <v>2011/3</v>
      </c>
      <c r="E53" s="3" t="s">
        <v>1</v>
      </c>
      <c r="F53" s="2" t="s">
        <v>11</v>
      </c>
    </row>
    <row r="54" spans="1:6" x14ac:dyDescent="0.35">
      <c r="A54" s="4">
        <f>IF(B54&lt;&gt;"",ROW()-15,"")</f>
        <v>39</v>
      </c>
      <c r="B54" s="5">
        <v>40668</v>
      </c>
      <c r="C54" s="3">
        <f>YEAR(B54)</f>
        <v>2011</v>
      </c>
      <c r="D54" s="3" t="str">
        <f>YEAR(B54)&amp;"/"&amp;MONTH(B54)</f>
        <v>2011/5</v>
      </c>
      <c r="E54" s="3" t="s">
        <v>1</v>
      </c>
      <c r="F54" s="2" t="s">
        <v>11</v>
      </c>
    </row>
    <row r="55" spans="1:6" x14ac:dyDescent="0.35">
      <c r="A55" s="4">
        <f>IF(B55&lt;&gt;"",ROW()-15,"")</f>
        <v>40</v>
      </c>
      <c r="B55" s="5">
        <v>40720</v>
      </c>
      <c r="C55" s="3">
        <f>YEAR(B55)</f>
        <v>2011</v>
      </c>
      <c r="D55" s="3" t="str">
        <f>YEAR(B55)&amp;"/"&amp;MONTH(B55)</f>
        <v>2011/6</v>
      </c>
      <c r="E55" s="3" t="s">
        <v>1</v>
      </c>
      <c r="F55" s="2" t="s">
        <v>11</v>
      </c>
    </row>
    <row r="56" spans="1:6" x14ac:dyDescent="0.35">
      <c r="A56" s="4">
        <f>IF(B56&lt;&gt;"",ROW()-15,"")</f>
        <v>41</v>
      </c>
      <c r="B56" s="5">
        <v>40740</v>
      </c>
      <c r="C56" s="3">
        <f>YEAR(B56)</f>
        <v>2011</v>
      </c>
      <c r="D56" s="3" t="str">
        <f>YEAR(B56)&amp;"/"&amp;MONTH(B56)</f>
        <v>2011/7</v>
      </c>
      <c r="E56" s="3" t="s">
        <v>1</v>
      </c>
      <c r="F56" s="2" t="s">
        <v>11</v>
      </c>
    </row>
    <row r="57" spans="1:6" x14ac:dyDescent="0.35">
      <c r="A57" s="4">
        <f>IF(B57&lt;&gt;"",ROW()-15,"")</f>
        <v>42</v>
      </c>
      <c r="B57" s="5">
        <v>40776</v>
      </c>
      <c r="C57" s="3">
        <f>YEAR(B57)</f>
        <v>2011</v>
      </c>
      <c r="D57" s="3" t="str">
        <f>YEAR(B57)&amp;"/"&amp;MONTH(B57)</f>
        <v>2011/8</v>
      </c>
      <c r="E57" s="3" t="s">
        <v>1</v>
      </c>
      <c r="F57" s="2" t="s">
        <v>11</v>
      </c>
    </row>
    <row r="58" spans="1:6" x14ac:dyDescent="0.35">
      <c r="A58" s="4">
        <f>IF(B58&lt;&gt;"",ROW()-15,"")</f>
        <v>43</v>
      </c>
      <c r="B58" s="5">
        <v>40803</v>
      </c>
      <c r="C58" s="3">
        <f>YEAR(B58)</f>
        <v>2011</v>
      </c>
      <c r="D58" s="3" t="str">
        <f>YEAR(B58)&amp;"/"&amp;MONTH(B58)</f>
        <v>2011/9</v>
      </c>
      <c r="E58" s="3" t="s">
        <v>1</v>
      </c>
      <c r="F58" s="2" t="s">
        <v>11</v>
      </c>
    </row>
    <row r="59" spans="1:6" x14ac:dyDescent="0.35">
      <c r="A59" s="4">
        <f>IF(B59&lt;&gt;"",ROW()-15,"")</f>
        <v>44</v>
      </c>
      <c r="B59" s="5">
        <v>40825</v>
      </c>
      <c r="C59" s="3">
        <f>YEAR(B59)</f>
        <v>2011</v>
      </c>
      <c r="D59" s="3" t="str">
        <f>YEAR(B59)&amp;"/"&amp;MONTH(B59)</f>
        <v>2011/10</v>
      </c>
      <c r="E59" s="3" t="s">
        <v>1</v>
      </c>
      <c r="F59" s="2" t="s">
        <v>11</v>
      </c>
    </row>
    <row r="60" spans="1:6" x14ac:dyDescent="0.35">
      <c r="A60" s="4">
        <f>IF(B60&lt;&gt;"",ROW()-15,"")</f>
        <v>45</v>
      </c>
      <c r="B60" s="5">
        <v>40850</v>
      </c>
      <c r="C60" s="3">
        <f>YEAR(B60)</f>
        <v>2011</v>
      </c>
      <c r="D60" s="3" t="str">
        <f>YEAR(B60)&amp;"/"&amp;MONTH(B60)</f>
        <v>2011/11</v>
      </c>
      <c r="E60" s="3" t="s">
        <v>8</v>
      </c>
      <c r="F60" s="2" t="s">
        <v>11</v>
      </c>
    </row>
    <row r="61" spans="1:6" x14ac:dyDescent="0.35">
      <c r="A61" s="4">
        <f>IF(B61&lt;&gt;"",ROW()-15,"")</f>
        <v>46</v>
      </c>
      <c r="B61" s="5">
        <v>40867</v>
      </c>
      <c r="C61" s="3">
        <f>YEAR(B61)</f>
        <v>2011</v>
      </c>
      <c r="D61" s="3" t="str">
        <f>YEAR(B61)&amp;"/"&amp;MONTH(B61)</f>
        <v>2011/11</v>
      </c>
      <c r="E61" s="3" t="s">
        <v>8</v>
      </c>
      <c r="F61" s="2" t="s">
        <v>11</v>
      </c>
    </row>
    <row r="62" spans="1:6" x14ac:dyDescent="0.35">
      <c r="A62" s="4">
        <f>IF(B62&lt;&gt;"",ROW()-15,"")</f>
        <v>47</v>
      </c>
      <c r="B62" s="5">
        <v>40894</v>
      </c>
      <c r="C62" s="3">
        <f>YEAR(B62)</f>
        <v>2011</v>
      </c>
      <c r="D62" s="3" t="str">
        <f>YEAR(B62)&amp;"/"&amp;MONTH(B62)</f>
        <v>2011/12</v>
      </c>
      <c r="E62" s="3" t="s">
        <v>8</v>
      </c>
      <c r="F62" s="2" t="s">
        <v>11</v>
      </c>
    </row>
    <row r="63" spans="1:6" x14ac:dyDescent="0.35">
      <c r="A63" s="4">
        <f>IF(B63&lt;&gt;"",ROW()-15,"")</f>
        <v>48</v>
      </c>
      <c r="B63" s="5">
        <v>40916</v>
      </c>
      <c r="C63" s="3">
        <f>YEAR(B63)</f>
        <v>2012</v>
      </c>
      <c r="D63" s="3" t="str">
        <f>YEAR(B63)&amp;"/"&amp;MONTH(B63)</f>
        <v>2012/1</v>
      </c>
      <c r="E63" s="3" t="s">
        <v>8</v>
      </c>
      <c r="F63" s="2" t="s">
        <v>11</v>
      </c>
    </row>
    <row r="64" spans="1:6" x14ac:dyDescent="0.35">
      <c r="A64" s="4">
        <f>IF(B64&lt;&gt;"",ROW()-15,"")</f>
        <v>49</v>
      </c>
      <c r="B64" s="5">
        <v>40936</v>
      </c>
      <c r="C64" s="3">
        <f>YEAR(B64)</f>
        <v>2012</v>
      </c>
      <c r="D64" s="3" t="str">
        <f>YEAR(B64)&amp;"/"&amp;MONTH(B64)</f>
        <v>2012/1</v>
      </c>
      <c r="E64" s="3" t="s">
        <v>1</v>
      </c>
      <c r="F64" s="2" t="s">
        <v>11</v>
      </c>
    </row>
    <row r="65" spans="1:6" x14ac:dyDescent="0.35">
      <c r="A65" s="4">
        <f>IF(B65&lt;&gt;"",ROW()-15,"")</f>
        <v>50</v>
      </c>
      <c r="B65" s="5">
        <v>40957</v>
      </c>
      <c r="C65" s="3">
        <f>YEAR(B65)</f>
        <v>2012</v>
      </c>
      <c r="D65" s="3" t="str">
        <f>YEAR(B65)&amp;"/"&amp;MONTH(B65)</f>
        <v>2012/2</v>
      </c>
      <c r="E65" s="3" t="s">
        <v>1</v>
      </c>
      <c r="F65" s="2" t="s">
        <v>16</v>
      </c>
    </row>
    <row r="66" spans="1:6" x14ac:dyDescent="0.35">
      <c r="A66" s="4">
        <f>IF(B66&lt;&gt;"",ROW()-15,"")</f>
        <v>51</v>
      </c>
      <c r="B66" s="5">
        <v>40988</v>
      </c>
      <c r="C66" s="3">
        <f>YEAR(B66)</f>
        <v>2012</v>
      </c>
      <c r="D66" s="3" t="str">
        <f>YEAR(B66)&amp;"/"&amp;MONTH(B66)</f>
        <v>2012/3</v>
      </c>
      <c r="E66" s="3" t="s">
        <v>8</v>
      </c>
      <c r="F66" s="2" t="s">
        <v>11</v>
      </c>
    </row>
    <row r="67" spans="1:6" x14ac:dyDescent="0.35">
      <c r="A67" s="4">
        <f>IF(B67&lt;&gt;"",ROW()-15,"")</f>
        <v>52</v>
      </c>
      <c r="B67" s="5">
        <v>41021</v>
      </c>
      <c r="C67" s="3">
        <f>YEAR(B67)</f>
        <v>2012</v>
      </c>
      <c r="D67" s="3" t="str">
        <f>YEAR(B67)&amp;"/"&amp;MONTH(B67)</f>
        <v>2012/4</v>
      </c>
      <c r="E67" s="3" t="s">
        <v>8</v>
      </c>
      <c r="F67" s="2" t="s">
        <v>15</v>
      </c>
    </row>
    <row r="68" spans="1:6" x14ac:dyDescent="0.35">
      <c r="A68" s="4">
        <f>IF(B68&lt;&gt;"",ROW()-15,"")</f>
        <v>53</v>
      </c>
      <c r="B68" s="5">
        <v>41055</v>
      </c>
      <c r="C68" s="3">
        <f>YEAR(B68)</f>
        <v>2012</v>
      </c>
      <c r="D68" s="3" t="str">
        <f>YEAR(B68)&amp;"/"&amp;MONTH(B68)</f>
        <v>2012/5</v>
      </c>
      <c r="E68" s="3" t="s">
        <v>1</v>
      </c>
      <c r="F68" s="2" t="s">
        <v>11</v>
      </c>
    </row>
    <row r="69" spans="1:6" x14ac:dyDescent="0.35">
      <c r="A69" s="4">
        <f>IF(B69&lt;&gt;"",ROW()-15,"")</f>
        <v>54</v>
      </c>
      <c r="B69" s="5">
        <v>41125</v>
      </c>
      <c r="C69" s="3">
        <f>YEAR(B69)</f>
        <v>2012</v>
      </c>
      <c r="D69" s="3" t="str">
        <f>YEAR(B69)&amp;"/"&amp;MONTH(B69)</f>
        <v>2012/8</v>
      </c>
      <c r="E69" s="3" t="s">
        <v>1</v>
      </c>
      <c r="F69" s="2" t="s">
        <v>11</v>
      </c>
    </row>
    <row r="70" spans="1:6" x14ac:dyDescent="0.35">
      <c r="A70" s="4">
        <f>IF(B70&lt;&gt;"",ROW()-15,"")</f>
        <v>55</v>
      </c>
      <c r="B70" s="5">
        <v>41153</v>
      </c>
      <c r="C70" s="3">
        <f>YEAR(B70)</f>
        <v>2012</v>
      </c>
      <c r="D70" s="3" t="str">
        <f>YEAR(B70)&amp;"/"&amp;MONTH(B70)</f>
        <v>2012/9</v>
      </c>
      <c r="E70" s="3" t="s">
        <v>8</v>
      </c>
      <c r="F70" s="2" t="s">
        <v>11</v>
      </c>
    </row>
    <row r="71" spans="1:6" x14ac:dyDescent="0.35">
      <c r="A71" s="4">
        <f>IF(B71&lt;&gt;"",ROW()-15,"")</f>
        <v>56</v>
      </c>
      <c r="B71" s="5">
        <v>41190</v>
      </c>
      <c r="C71" s="3">
        <f>YEAR(B71)</f>
        <v>2012</v>
      </c>
      <c r="D71" s="3" t="str">
        <f>YEAR(B71)&amp;"/"&amp;MONTH(B71)</f>
        <v>2012/10</v>
      </c>
      <c r="E71" s="3" t="s">
        <v>8</v>
      </c>
      <c r="F71" s="2" t="s">
        <v>11</v>
      </c>
    </row>
    <row r="72" spans="1:6" x14ac:dyDescent="0.35">
      <c r="A72" s="4">
        <f>IF(B72&lt;&gt;"",ROW()-15,"")</f>
        <v>57</v>
      </c>
      <c r="B72" s="5">
        <v>41237</v>
      </c>
      <c r="C72" s="3">
        <f>YEAR(B72)</f>
        <v>2012</v>
      </c>
      <c r="D72" s="3" t="str">
        <f>YEAR(B72)&amp;"/"&amp;MONTH(B72)</f>
        <v>2012/11</v>
      </c>
      <c r="E72" s="3" t="s">
        <v>8</v>
      </c>
      <c r="F72" s="2" t="s">
        <v>11</v>
      </c>
    </row>
    <row r="73" spans="1:6" x14ac:dyDescent="0.35">
      <c r="A73" s="4">
        <f>IF(B73&lt;&gt;"",ROW()-15,"")</f>
        <v>58</v>
      </c>
      <c r="B73" s="5">
        <v>41262</v>
      </c>
      <c r="C73" s="3">
        <f>YEAR(B73)</f>
        <v>2012</v>
      </c>
      <c r="D73" s="3" t="str">
        <f>YEAR(B73)&amp;"/"&amp;MONTH(B73)</f>
        <v>2012/12</v>
      </c>
      <c r="E73" s="3" t="s">
        <v>8</v>
      </c>
      <c r="F73" s="2" t="s">
        <v>11</v>
      </c>
    </row>
    <row r="74" spans="1:6" x14ac:dyDescent="0.35">
      <c r="A74" s="4">
        <f>IF(B74&lt;&gt;"",ROW()-15,"")</f>
        <v>59</v>
      </c>
      <c r="B74" s="5">
        <v>41288</v>
      </c>
      <c r="C74" s="3">
        <f>YEAR(B74)</f>
        <v>2013</v>
      </c>
      <c r="D74" s="3" t="str">
        <f>YEAR(B74)&amp;"/"&amp;MONTH(B74)</f>
        <v>2013/1</v>
      </c>
      <c r="E74" s="3" t="s">
        <v>8</v>
      </c>
      <c r="F74" s="2" t="s">
        <v>12</v>
      </c>
    </row>
    <row r="75" spans="1:6" x14ac:dyDescent="0.35">
      <c r="A75" s="4">
        <f>IF(B75&lt;&gt;"",ROW()-15,"")</f>
        <v>60</v>
      </c>
      <c r="B75" s="5">
        <v>41305</v>
      </c>
      <c r="C75" s="3">
        <f>YEAR(B75)</f>
        <v>2013</v>
      </c>
      <c r="D75" s="3" t="str">
        <f>YEAR(B75)&amp;"/"&amp;MONTH(B75)</f>
        <v>2013/1</v>
      </c>
      <c r="E75" s="3" t="s">
        <v>8</v>
      </c>
      <c r="F75" s="2" t="s">
        <v>11</v>
      </c>
    </row>
    <row r="76" spans="1:6" x14ac:dyDescent="0.35">
      <c r="A76" s="4">
        <f>IF(B76&lt;&gt;"",ROW()-15,"")</f>
        <v>61</v>
      </c>
      <c r="B76" s="5">
        <v>41343</v>
      </c>
      <c r="C76" s="3">
        <f>YEAR(B76)</f>
        <v>2013</v>
      </c>
      <c r="D76" s="3" t="str">
        <f>YEAR(B76)&amp;"/"&amp;MONTH(B76)</f>
        <v>2013/3</v>
      </c>
      <c r="E76" s="3" t="s">
        <v>8</v>
      </c>
      <c r="F76" s="2" t="s">
        <v>11</v>
      </c>
    </row>
    <row r="77" spans="1:6" x14ac:dyDescent="0.35">
      <c r="A77" s="4">
        <f>IF(B77&lt;&gt;"",ROW()-15,"")</f>
        <v>62</v>
      </c>
      <c r="B77" s="5">
        <v>41370</v>
      </c>
      <c r="C77" s="3">
        <f>YEAR(B77)</f>
        <v>2013</v>
      </c>
      <c r="D77" s="3" t="str">
        <f>YEAR(B77)&amp;"/"&amp;MONTH(B77)</f>
        <v>2013/4</v>
      </c>
      <c r="E77" s="3" t="s">
        <v>8</v>
      </c>
      <c r="F77" s="2" t="s">
        <v>10</v>
      </c>
    </row>
    <row r="78" spans="1:6" x14ac:dyDescent="0.35">
      <c r="A78" s="4">
        <f>IF(B78&lt;&gt;"",ROW()-15,"")</f>
        <v>63</v>
      </c>
      <c r="B78" s="5">
        <v>41385</v>
      </c>
      <c r="C78" s="3">
        <f>YEAR(B78)</f>
        <v>2013</v>
      </c>
      <c r="D78" s="3" t="str">
        <f>YEAR(B78)&amp;"/"&amp;MONTH(B78)</f>
        <v>2013/4</v>
      </c>
      <c r="E78" s="3" t="s">
        <v>8</v>
      </c>
      <c r="F78" s="2" t="s">
        <v>12</v>
      </c>
    </row>
    <row r="79" spans="1:6" x14ac:dyDescent="0.35">
      <c r="A79" s="4">
        <f>IF(B79&lt;&gt;"",ROW()-15,"")</f>
        <v>64</v>
      </c>
      <c r="B79" s="5">
        <v>41399</v>
      </c>
      <c r="C79" s="3">
        <f>YEAR(B79)</f>
        <v>2013</v>
      </c>
      <c r="D79" s="3" t="str">
        <f>YEAR(B79)&amp;"/"&amp;MONTH(B79)</f>
        <v>2013/5</v>
      </c>
      <c r="E79" s="3" t="s">
        <v>8</v>
      </c>
      <c r="F79" s="2" t="s">
        <v>12</v>
      </c>
    </row>
    <row r="80" spans="1:6" x14ac:dyDescent="0.35">
      <c r="A80" s="4">
        <f>IF(B80&lt;&gt;"",ROW()-15,"")</f>
        <v>65</v>
      </c>
      <c r="B80" s="5">
        <v>41413</v>
      </c>
      <c r="C80" s="3">
        <f>YEAR(B80)</f>
        <v>2013</v>
      </c>
      <c r="D80" s="3" t="str">
        <f>YEAR(B80)&amp;"/"&amp;MONTH(B80)</f>
        <v>2013/5</v>
      </c>
      <c r="E80" s="3" t="s">
        <v>8</v>
      </c>
      <c r="F80" s="2" t="s">
        <v>10</v>
      </c>
    </row>
    <row r="81" spans="1:6" x14ac:dyDescent="0.35">
      <c r="A81" s="4">
        <f>IF(B81&lt;&gt;"",ROW()-15,"")</f>
        <v>66</v>
      </c>
      <c r="B81" s="5">
        <v>41427</v>
      </c>
      <c r="C81" s="3">
        <f>YEAR(B81)</f>
        <v>2013</v>
      </c>
      <c r="D81" s="3" t="str">
        <f>YEAR(B81)&amp;"/"&amp;MONTH(B81)</f>
        <v>2013/6</v>
      </c>
      <c r="E81" s="3" t="s">
        <v>1</v>
      </c>
      <c r="F81" s="2" t="s">
        <v>10</v>
      </c>
    </row>
    <row r="82" spans="1:6" x14ac:dyDescent="0.35">
      <c r="A82" s="4">
        <f>IF(B82&lt;&gt;"",ROW()-15,"")</f>
        <v>67</v>
      </c>
      <c r="B82" s="5">
        <v>41496</v>
      </c>
      <c r="C82" s="3">
        <f>YEAR(B82)</f>
        <v>2013</v>
      </c>
      <c r="D82" s="3" t="str">
        <f>YEAR(B82)&amp;"/"&amp;MONTH(B82)</f>
        <v>2013/8</v>
      </c>
      <c r="E82" s="3" t="s">
        <v>1</v>
      </c>
      <c r="F82" s="2" t="s">
        <v>12</v>
      </c>
    </row>
    <row r="83" spans="1:6" x14ac:dyDescent="0.35">
      <c r="A83" s="4">
        <f>IF(B83&lt;&gt;"",ROW()-15,"")</f>
        <v>68</v>
      </c>
      <c r="B83" s="5">
        <v>41518</v>
      </c>
      <c r="C83" s="3">
        <f>YEAR(B83)</f>
        <v>2013</v>
      </c>
      <c r="D83" s="3" t="str">
        <f>YEAR(B83)&amp;"/"&amp;MONTH(B83)</f>
        <v>2013/9</v>
      </c>
      <c r="E83" s="3" t="s">
        <v>8</v>
      </c>
      <c r="F83" s="2" t="s">
        <v>10</v>
      </c>
    </row>
    <row r="84" spans="1:6" x14ac:dyDescent="0.35">
      <c r="A84" s="4">
        <f>IF(B84&lt;&gt;"",ROW()-15,"")</f>
        <v>69</v>
      </c>
      <c r="B84" s="5">
        <v>41559</v>
      </c>
      <c r="C84" s="3">
        <f>YEAR(B84)</f>
        <v>2013</v>
      </c>
      <c r="D84" s="3" t="str">
        <f>YEAR(B84)&amp;"/"&amp;MONTH(B84)</f>
        <v>2013/10</v>
      </c>
      <c r="E84" s="3" t="s">
        <v>8</v>
      </c>
      <c r="F84" s="2" t="s">
        <v>11</v>
      </c>
    </row>
    <row r="85" spans="1:6" x14ac:dyDescent="0.35">
      <c r="A85" s="4">
        <f>IF(B85&lt;&gt;"",ROW()-15,"")</f>
        <v>70</v>
      </c>
      <c r="B85" s="5">
        <v>41602</v>
      </c>
      <c r="C85" s="3">
        <f>YEAR(B85)</f>
        <v>2013</v>
      </c>
      <c r="D85" s="3" t="str">
        <f>YEAR(B85)&amp;"/"&amp;MONTH(B85)</f>
        <v>2013/11</v>
      </c>
      <c r="E85" s="3" t="s">
        <v>8</v>
      </c>
      <c r="F85" s="2" t="s">
        <v>10</v>
      </c>
    </row>
    <row r="86" spans="1:6" x14ac:dyDescent="0.35">
      <c r="A86" s="4">
        <f>IF(B86&lt;&gt;"",ROW()-15,"")</f>
        <v>71</v>
      </c>
      <c r="B86" s="5">
        <v>41629</v>
      </c>
      <c r="C86" s="3">
        <f>YEAR(B86)</f>
        <v>2013</v>
      </c>
      <c r="D86" s="3" t="str">
        <f>YEAR(B86)&amp;"/"&amp;MONTH(B86)</f>
        <v>2013/12</v>
      </c>
      <c r="E86" s="3" t="s">
        <v>8</v>
      </c>
      <c r="F86" s="2" t="s">
        <v>10</v>
      </c>
    </row>
    <row r="87" spans="1:6" x14ac:dyDescent="0.35">
      <c r="A87" s="4">
        <f>IF(B87&lt;&gt;"",ROW()-15,"")</f>
        <v>72</v>
      </c>
      <c r="B87" s="5">
        <v>41658</v>
      </c>
      <c r="C87" s="3">
        <f>YEAR(B87)</f>
        <v>2014</v>
      </c>
      <c r="D87" s="3" t="str">
        <f>YEAR(B87)&amp;"/"&amp;MONTH(B87)</f>
        <v>2014/1</v>
      </c>
      <c r="E87" s="3" t="s">
        <v>8</v>
      </c>
      <c r="F87" s="2" t="s">
        <v>10</v>
      </c>
    </row>
    <row r="88" spans="1:6" x14ac:dyDescent="0.35">
      <c r="A88" s="4">
        <f>IF(B88&lt;&gt;"",ROW()-15,"")</f>
        <v>73</v>
      </c>
      <c r="B88" s="5">
        <v>41672</v>
      </c>
      <c r="C88" s="3">
        <f>YEAR(B88)</f>
        <v>2014</v>
      </c>
      <c r="D88" s="3" t="str">
        <f>YEAR(B88)&amp;"/"&amp;MONTH(B88)</f>
        <v>2014/2</v>
      </c>
      <c r="E88" s="3" t="s">
        <v>8</v>
      </c>
      <c r="F88" s="2" t="s">
        <v>10</v>
      </c>
    </row>
    <row r="89" spans="1:6" x14ac:dyDescent="0.35">
      <c r="A89" s="4">
        <f>IF(B89&lt;&gt;"",ROW()-15,"")</f>
        <v>74</v>
      </c>
      <c r="B89" s="5">
        <v>41709</v>
      </c>
      <c r="C89" s="3">
        <f>YEAR(B89)</f>
        <v>2014</v>
      </c>
      <c r="D89" s="3" t="str">
        <f>YEAR(B89)&amp;"/"&amp;MONTH(B89)</f>
        <v>2014/3</v>
      </c>
      <c r="E89" s="3" t="s">
        <v>8</v>
      </c>
      <c r="F89" s="2" t="s">
        <v>11</v>
      </c>
    </row>
    <row r="90" spans="1:6" x14ac:dyDescent="0.35">
      <c r="A90" s="4">
        <f>IF(B90&lt;&gt;"",ROW()-15,"")</f>
        <v>75</v>
      </c>
      <c r="B90" s="5">
        <v>41735</v>
      </c>
      <c r="C90" s="3">
        <f>YEAR(B90)</f>
        <v>2014</v>
      </c>
      <c r="D90" s="3" t="str">
        <f>YEAR(B90)&amp;"/"&amp;MONTH(B90)</f>
        <v>2014/4</v>
      </c>
      <c r="E90" s="3" t="s">
        <v>8</v>
      </c>
      <c r="F90" s="2" t="s">
        <v>10</v>
      </c>
    </row>
    <row r="91" spans="1:6" x14ac:dyDescent="0.35">
      <c r="A91" s="4">
        <f>IF(B91&lt;&gt;"",ROW()-15,"")</f>
        <v>76</v>
      </c>
      <c r="B91" s="5">
        <v>41756</v>
      </c>
      <c r="C91" s="3">
        <f>YEAR(B91)</f>
        <v>2014</v>
      </c>
      <c r="D91" s="3" t="str">
        <f>YEAR(B91)&amp;"/"&amp;MONTH(B91)</f>
        <v>2014/4</v>
      </c>
      <c r="E91" s="3" t="s">
        <v>8</v>
      </c>
      <c r="F91" s="2" t="s">
        <v>10</v>
      </c>
    </row>
    <row r="92" spans="1:6" x14ac:dyDescent="0.35">
      <c r="A92" s="4">
        <f>IF(B92&lt;&gt;"",ROW()-15,"")</f>
        <v>77</v>
      </c>
      <c r="B92" s="5">
        <v>41812</v>
      </c>
      <c r="C92" s="3">
        <f>YEAR(B92)</f>
        <v>2014</v>
      </c>
      <c r="D92" s="3" t="str">
        <f>YEAR(B92)&amp;"/"&amp;MONTH(B92)</f>
        <v>2014/6</v>
      </c>
      <c r="E92" s="3" t="s">
        <v>8</v>
      </c>
      <c r="F92" s="2" t="s">
        <v>11</v>
      </c>
    </row>
    <row r="93" spans="1:6" x14ac:dyDescent="0.35">
      <c r="A93" s="4">
        <f>IF(B93&lt;&gt;"",ROW()-15,"")</f>
        <v>78</v>
      </c>
      <c r="B93" s="5">
        <v>41826</v>
      </c>
      <c r="C93" s="3">
        <f>YEAR(B93)</f>
        <v>2014</v>
      </c>
      <c r="D93" s="3" t="str">
        <f>YEAR(B93)&amp;"/"&amp;MONTH(B93)</f>
        <v>2014/7</v>
      </c>
      <c r="E93" s="3" t="s">
        <v>8</v>
      </c>
      <c r="F93" s="2" t="s">
        <v>10</v>
      </c>
    </row>
    <row r="94" spans="1:6" x14ac:dyDescent="0.35">
      <c r="A94" s="4">
        <f>IF(B94&lt;&gt;"",ROW()-15,"")</f>
        <v>79</v>
      </c>
      <c r="B94" s="5">
        <v>41840</v>
      </c>
      <c r="C94" s="3">
        <f>YEAR(B94)</f>
        <v>2014</v>
      </c>
      <c r="D94" s="3" t="str">
        <f>YEAR(B94)&amp;"/"&amp;MONTH(B94)</f>
        <v>2014/7</v>
      </c>
      <c r="E94" s="3" t="s">
        <v>1</v>
      </c>
      <c r="F94" s="2" t="s">
        <v>10</v>
      </c>
    </row>
    <row r="95" spans="1:6" x14ac:dyDescent="0.35">
      <c r="A95" s="4">
        <f>IF(B95&lt;&gt;"",ROW()-15,"")</f>
        <v>80</v>
      </c>
      <c r="B95" s="5">
        <v>41861</v>
      </c>
      <c r="C95" s="3">
        <f>YEAR(B95)</f>
        <v>2014</v>
      </c>
      <c r="D95" s="3" t="str">
        <f>YEAR(B95)&amp;"/"&amp;MONTH(B95)</f>
        <v>2014/8</v>
      </c>
      <c r="E95" s="3" t="s">
        <v>1</v>
      </c>
      <c r="F95" s="2" t="s">
        <v>10</v>
      </c>
    </row>
    <row r="96" spans="1:6" x14ac:dyDescent="0.35">
      <c r="A96" s="4">
        <f>IF(B96&lt;&gt;"",ROW()-15,"")</f>
        <v>81</v>
      </c>
      <c r="B96" s="5">
        <v>41888</v>
      </c>
      <c r="C96" s="3">
        <f>YEAR(B96)</f>
        <v>2014</v>
      </c>
      <c r="D96" s="3" t="str">
        <f>YEAR(B96)&amp;"/"&amp;MONTH(B96)</f>
        <v>2014/9</v>
      </c>
      <c r="E96" s="3" t="s">
        <v>8</v>
      </c>
      <c r="F96" s="2" t="s">
        <v>11</v>
      </c>
    </row>
    <row r="97" spans="1:6" x14ac:dyDescent="0.35">
      <c r="A97" s="4">
        <f>IF(B97&lt;&gt;"",ROW()-15,"")</f>
        <v>82</v>
      </c>
      <c r="B97" s="5">
        <v>41924</v>
      </c>
      <c r="C97" s="3">
        <f>YEAR(B97)</f>
        <v>2014</v>
      </c>
      <c r="D97" s="3" t="str">
        <f>YEAR(B97)&amp;"/"&amp;MONTH(B97)</f>
        <v>2014/10</v>
      </c>
      <c r="E97" s="3" t="s">
        <v>8</v>
      </c>
      <c r="F97" s="2" t="s">
        <v>11</v>
      </c>
    </row>
    <row r="98" spans="1:6" x14ac:dyDescent="0.35">
      <c r="A98" s="4">
        <f>IF(B98&lt;&gt;"",ROW()-15,"")</f>
        <v>83</v>
      </c>
      <c r="B98" s="5">
        <v>41973</v>
      </c>
      <c r="C98" s="3">
        <f>YEAR(B98)</f>
        <v>2014</v>
      </c>
      <c r="D98" s="3" t="str">
        <f>YEAR(B98)&amp;"/"&amp;MONTH(B98)</f>
        <v>2014/11</v>
      </c>
      <c r="E98" s="3" t="s">
        <v>8</v>
      </c>
      <c r="F98" s="2" t="s">
        <v>10</v>
      </c>
    </row>
    <row r="99" spans="1:6" x14ac:dyDescent="0.35">
      <c r="A99" s="4">
        <f>IF(B99&lt;&gt;"",ROW()-15,"")</f>
        <v>84</v>
      </c>
      <c r="B99" s="5">
        <v>41994</v>
      </c>
      <c r="C99" s="3">
        <f>YEAR(B99)</f>
        <v>2014</v>
      </c>
      <c r="D99" s="3" t="str">
        <f>YEAR(B99)&amp;"/"&amp;MONTH(B99)</f>
        <v>2014/12</v>
      </c>
      <c r="E99" s="3" t="s">
        <v>8</v>
      </c>
      <c r="F99" s="2" t="s">
        <v>11</v>
      </c>
    </row>
    <row r="100" spans="1:6" x14ac:dyDescent="0.35">
      <c r="A100" s="4">
        <f>IF(B100&lt;&gt;"",ROW()-15,"")</f>
        <v>85</v>
      </c>
      <c r="B100" s="5">
        <v>42028</v>
      </c>
      <c r="C100" s="3">
        <f>YEAR(B100)</f>
        <v>2015</v>
      </c>
      <c r="D100" s="3" t="str">
        <f>YEAR(B100)&amp;"/"&amp;MONTH(B100)</f>
        <v>2015/1</v>
      </c>
      <c r="E100" s="3" t="s">
        <v>1</v>
      </c>
      <c r="F100" s="2" t="s">
        <v>10</v>
      </c>
    </row>
    <row r="101" spans="1:6" x14ac:dyDescent="0.35">
      <c r="A101" s="4">
        <f>IF(B101&lt;&gt;"",ROW()-15,"")</f>
        <v>86</v>
      </c>
      <c r="B101" s="5">
        <v>42042</v>
      </c>
      <c r="C101" s="3">
        <f>YEAR(B101)</f>
        <v>2015</v>
      </c>
      <c r="D101" s="3" t="str">
        <f>YEAR(B101)&amp;"/"&amp;MONTH(B101)</f>
        <v>2015/2</v>
      </c>
      <c r="E101" s="3" t="s">
        <v>8</v>
      </c>
      <c r="F101" s="2" t="s">
        <v>12</v>
      </c>
    </row>
    <row r="102" spans="1:6" x14ac:dyDescent="0.35">
      <c r="A102" s="4">
        <f>IF(B102&lt;&gt;"",ROW()-15,"")</f>
        <v>87</v>
      </c>
      <c r="B102" s="5">
        <v>42057</v>
      </c>
      <c r="C102" s="3">
        <f>YEAR(B102)</f>
        <v>2015</v>
      </c>
      <c r="D102" s="3" t="str">
        <f>YEAR(B102)&amp;"/"&amp;MONTH(B102)</f>
        <v>2015/2</v>
      </c>
      <c r="E102" s="3" t="s">
        <v>1</v>
      </c>
      <c r="F102" s="2" t="s">
        <v>10</v>
      </c>
    </row>
    <row r="103" spans="1:6" x14ac:dyDescent="0.35">
      <c r="A103" s="4">
        <f>IF(B103&lt;&gt;"",ROW()-15,"")</f>
        <v>88</v>
      </c>
      <c r="B103" s="5">
        <v>42078</v>
      </c>
      <c r="C103" s="3">
        <f>YEAR(B103)</f>
        <v>2015</v>
      </c>
      <c r="D103" s="3" t="str">
        <f>YEAR(B103)&amp;"/"&amp;MONTH(B103)</f>
        <v>2015/3</v>
      </c>
      <c r="E103" s="3" t="s">
        <v>8</v>
      </c>
      <c r="F103" s="2" t="s">
        <v>12</v>
      </c>
    </row>
    <row r="104" spans="1:6" x14ac:dyDescent="0.35">
      <c r="A104" s="4">
        <f>IF(B104&lt;&gt;"",ROW()-15,"")</f>
        <v>89</v>
      </c>
      <c r="B104" s="5">
        <v>42106</v>
      </c>
      <c r="C104" s="3">
        <f>YEAR(B104)</f>
        <v>2015</v>
      </c>
      <c r="D104" s="3" t="str">
        <f>YEAR(B104)&amp;"/"&amp;MONTH(B104)</f>
        <v>2015/4</v>
      </c>
      <c r="E104" s="3" t="s">
        <v>1</v>
      </c>
      <c r="F104" s="2" t="s">
        <v>12</v>
      </c>
    </row>
    <row r="105" spans="1:6" x14ac:dyDescent="0.35">
      <c r="A105" s="4">
        <f>IF(B105&lt;&gt;"",ROW()-15,"")</f>
        <v>90</v>
      </c>
      <c r="B105" s="5">
        <v>42120</v>
      </c>
      <c r="C105" s="3">
        <f>YEAR(B105)</f>
        <v>2015</v>
      </c>
      <c r="D105" s="3" t="str">
        <f>YEAR(B105)&amp;"/"&amp;MONTH(B105)</f>
        <v>2015/4</v>
      </c>
      <c r="E105" s="3" t="s">
        <v>1</v>
      </c>
      <c r="F105" s="2" t="s">
        <v>12</v>
      </c>
    </row>
    <row r="106" spans="1:6" x14ac:dyDescent="0.35">
      <c r="A106" s="4">
        <f>IF(B106&lt;&gt;"",ROW()-15,"")</f>
        <v>91</v>
      </c>
      <c r="B106" s="5">
        <v>42134</v>
      </c>
      <c r="C106" s="3">
        <f>YEAR(B106)</f>
        <v>2015</v>
      </c>
      <c r="D106" s="3" t="str">
        <f>YEAR(B106)&amp;"/"&amp;MONTH(B106)</f>
        <v>2015/5</v>
      </c>
      <c r="E106" s="3" t="s">
        <v>8</v>
      </c>
      <c r="F106" s="2" t="s">
        <v>10</v>
      </c>
    </row>
    <row r="107" spans="1:6" x14ac:dyDescent="0.35">
      <c r="A107" s="4">
        <f>IF(B107&lt;&gt;"",ROW()-15,"")</f>
        <v>92</v>
      </c>
      <c r="B107" s="5">
        <v>42182</v>
      </c>
      <c r="C107" s="3">
        <f>YEAR(B107)</f>
        <v>2015</v>
      </c>
      <c r="D107" s="3" t="str">
        <f>YEAR(B107)&amp;"/"&amp;MONTH(B107)</f>
        <v>2015/6</v>
      </c>
      <c r="E107" s="3" t="s">
        <v>8</v>
      </c>
      <c r="F107" s="2" t="s">
        <v>10</v>
      </c>
    </row>
    <row r="108" spans="1:6" x14ac:dyDescent="0.35">
      <c r="A108" s="4">
        <f>IF(B108&lt;&gt;"",ROW()-15,"")</f>
        <v>93</v>
      </c>
      <c r="B108" s="5">
        <v>42197</v>
      </c>
      <c r="C108" s="3">
        <f>YEAR(B108)</f>
        <v>2015</v>
      </c>
      <c r="D108" s="3" t="str">
        <f>YEAR(B108)&amp;"/"&amp;MONTH(B108)</f>
        <v>2015/7</v>
      </c>
      <c r="E108" s="3" t="s">
        <v>1</v>
      </c>
      <c r="F108" s="2" t="s">
        <v>11</v>
      </c>
    </row>
    <row r="109" spans="1:6" x14ac:dyDescent="0.35">
      <c r="A109" s="4">
        <f>IF(B109&lt;&gt;"",ROW()-15,"")</f>
        <v>94</v>
      </c>
      <c r="B109" s="5">
        <v>42211</v>
      </c>
      <c r="C109" s="3">
        <f>YEAR(B109)</f>
        <v>2015</v>
      </c>
      <c r="D109" s="3" t="str">
        <f>YEAR(B109)&amp;"/"&amp;MONTH(B109)</f>
        <v>2015/7</v>
      </c>
      <c r="E109" s="3" t="s">
        <v>8</v>
      </c>
      <c r="F109" s="2" t="s">
        <v>12</v>
      </c>
    </row>
    <row r="110" spans="1:6" x14ac:dyDescent="0.35">
      <c r="A110" s="4">
        <f>IF(B110&lt;&gt;"",ROW()-15,"")</f>
        <v>95</v>
      </c>
      <c r="B110" s="5">
        <v>42229</v>
      </c>
      <c r="C110" s="3">
        <f>YEAR(B110)</f>
        <v>2015</v>
      </c>
      <c r="D110" s="3" t="str">
        <f>YEAR(B110)&amp;"/"&amp;MONTH(B110)</f>
        <v>2015/8</v>
      </c>
      <c r="E110" s="3" t="s">
        <v>1</v>
      </c>
      <c r="F110" s="2" t="s">
        <v>12</v>
      </c>
    </row>
    <row r="111" spans="1:6" x14ac:dyDescent="0.35">
      <c r="A111" s="4">
        <f>IF(B111&lt;&gt;"",ROW()-15,"")</f>
        <v>96</v>
      </c>
      <c r="B111" s="5">
        <v>42259</v>
      </c>
      <c r="C111" s="3">
        <f>YEAR(B111)</f>
        <v>2015</v>
      </c>
      <c r="D111" s="3" t="str">
        <f>YEAR(B111)&amp;"/"&amp;MONTH(B111)</f>
        <v>2015/9</v>
      </c>
      <c r="E111" s="3" t="s">
        <v>8</v>
      </c>
      <c r="F111" s="2" t="s">
        <v>10</v>
      </c>
    </row>
    <row r="112" spans="1:6" x14ac:dyDescent="0.35">
      <c r="A112" s="4">
        <f>IF(B112&lt;&gt;"",ROW()-15,"")</f>
        <v>97</v>
      </c>
      <c r="B112" s="5">
        <v>42296</v>
      </c>
      <c r="C112" s="3">
        <f>YEAR(B112)</f>
        <v>2015</v>
      </c>
      <c r="D112" s="3" t="str">
        <f>YEAR(B112)&amp;"/"&amp;MONTH(B112)</f>
        <v>2015/10</v>
      </c>
      <c r="E112" s="3" t="s">
        <v>8</v>
      </c>
      <c r="F112" s="2" t="s">
        <v>10</v>
      </c>
    </row>
    <row r="113" spans="1:6" x14ac:dyDescent="0.35">
      <c r="A113" s="4">
        <f>IF(B113&lt;&gt;"",ROW()-15,"")</f>
        <v>98</v>
      </c>
      <c r="B113" s="5">
        <v>42339</v>
      </c>
      <c r="C113" s="3">
        <f>YEAR(B113)</f>
        <v>2015</v>
      </c>
      <c r="D113" s="3" t="str">
        <f>YEAR(B113)&amp;"/"&amp;MONTH(B113)</f>
        <v>2015/12</v>
      </c>
      <c r="E113" s="3" t="s">
        <v>8</v>
      </c>
      <c r="F113" s="2" t="s">
        <v>10</v>
      </c>
    </row>
    <row r="114" spans="1:6" x14ac:dyDescent="0.35">
      <c r="A114" s="4">
        <f>IF(B114&lt;&gt;"",ROW()-15,"")</f>
        <v>99</v>
      </c>
      <c r="B114" s="5">
        <v>42360</v>
      </c>
      <c r="C114" s="3">
        <f>YEAR(B114)</f>
        <v>2015</v>
      </c>
      <c r="D114" s="3" t="str">
        <f>YEAR(B114)&amp;"/"&amp;MONTH(B114)</f>
        <v>2015/12</v>
      </c>
      <c r="E114" s="3" t="s">
        <v>8</v>
      </c>
      <c r="F114" s="2" t="s">
        <v>10</v>
      </c>
    </row>
    <row r="115" spans="1:6" x14ac:dyDescent="0.35">
      <c r="A115" s="4">
        <f>IF(B115&lt;&gt;"",ROW()-15,"")</f>
        <v>100</v>
      </c>
      <c r="B115" s="5">
        <v>42394</v>
      </c>
      <c r="C115" s="3">
        <f>YEAR(B115)</f>
        <v>2016</v>
      </c>
      <c r="D115" s="3" t="str">
        <f>YEAR(B115)&amp;"/"&amp;MONTH(B115)</f>
        <v>2016/1</v>
      </c>
      <c r="E115" s="3" t="s">
        <v>1</v>
      </c>
      <c r="F115" s="2" t="s">
        <v>10</v>
      </c>
    </row>
    <row r="116" spans="1:6" x14ac:dyDescent="0.35">
      <c r="A116" s="4">
        <f>IF(B116&lt;&gt;"",ROW()-15,"")</f>
        <v>101</v>
      </c>
      <c r="B116" s="5">
        <v>42411</v>
      </c>
      <c r="C116" s="3">
        <f>YEAR(B116)</f>
        <v>2016</v>
      </c>
      <c r="D116" s="3" t="str">
        <f>YEAR(B116)&amp;"/"&amp;MONTH(B116)</f>
        <v>2016/2</v>
      </c>
      <c r="E116" s="3" t="s">
        <v>8</v>
      </c>
      <c r="F116" s="2" t="s">
        <v>10</v>
      </c>
    </row>
    <row r="117" spans="1:6" x14ac:dyDescent="0.35">
      <c r="A117" s="4">
        <f>IF(B117&lt;&gt;"",ROW()-15,"")</f>
        <v>102</v>
      </c>
      <c r="B117" s="5">
        <v>42428</v>
      </c>
      <c r="C117" s="3">
        <f>YEAR(B117)</f>
        <v>2016</v>
      </c>
      <c r="D117" s="3" t="str">
        <f>YEAR(B117)&amp;"/"&amp;MONTH(B117)</f>
        <v>2016/2</v>
      </c>
      <c r="E117" s="3" t="s">
        <v>1</v>
      </c>
      <c r="F117" s="2" t="s">
        <v>10</v>
      </c>
    </row>
    <row r="118" spans="1:6" x14ac:dyDescent="0.35">
      <c r="A118" s="4">
        <f>IF(B118&lt;&gt;"",ROW()-15,"")</f>
        <v>103</v>
      </c>
      <c r="B118" s="5">
        <v>42444</v>
      </c>
      <c r="C118" s="3">
        <f>YEAR(B118)</f>
        <v>2016</v>
      </c>
      <c r="D118" s="3" t="str">
        <f>YEAR(B118)&amp;"/"&amp;MONTH(B118)</f>
        <v>2016/3</v>
      </c>
      <c r="E118" s="3" t="s">
        <v>8</v>
      </c>
      <c r="F118" s="2" t="s">
        <v>10</v>
      </c>
    </row>
    <row r="119" spans="1:6" x14ac:dyDescent="0.35">
      <c r="A119" s="4">
        <f>IF(B119&lt;&gt;"",ROW()-15,"")</f>
        <v>104</v>
      </c>
      <c r="B119" s="5">
        <v>42476</v>
      </c>
      <c r="C119" s="3">
        <f>YEAR(B119)</f>
        <v>2016</v>
      </c>
      <c r="D119" s="3" t="str">
        <f>YEAR(B119)&amp;"/"&amp;MONTH(B119)</f>
        <v>2016/4</v>
      </c>
      <c r="E119" s="3" t="s">
        <v>1</v>
      </c>
      <c r="F119" s="2" t="s">
        <v>10</v>
      </c>
    </row>
    <row r="120" spans="1:6" x14ac:dyDescent="0.35">
      <c r="A120" s="4">
        <f>IF(B120&lt;&gt;"",ROW()-15,"")</f>
        <v>105</v>
      </c>
      <c r="B120" s="5">
        <v>42491</v>
      </c>
      <c r="C120" s="3">
        <f>YEAR(B120)</f>
        <v>2016</v>
      </c>
      <c r="D120" s="3" t="str">
        <f>YEAR(B120)&amp;"/"&amp;MONTH(B120)</f>
        <v>2016/5</v>
      </c>
      <c r="E120" s="3" t="s">
        <v>1</v>
      </c>
      <c r="F120" s="2" t="s">
        <v>12</v>
      </c>
    </row>
    <row r="121" spans="1:6" x14ac:dyDescent="0.35">
      <c r="A121" s="4">
        <f>IF(B121&lt;&gt;"",ROW()-15,"")</f>
        <v>106</v>
      </c>
      <c r="B121" s="5">
        <v>42505</v>
      </c>
      <c r="C121" s="3">
        <f>YEAR(B121)</f>
        <v>2016</v>
      </c>
      <c r="D121" s="3" t="str">
        <f>YEAR(B121)&amp;"/"&amp;MONTH(B121)</f>
        <v>2016/5</v>
      </c>
      <c r="E121" s="3" t="s">
        <v>8</v>
      </c>
      <c r="F121" s="2" t="s">
        <v>10</v>
      </c>
    </row>
    <row r="122" spans="1:6" x14ac:dyDescent="0.35">
      <c r="A122" s="4">
        <f>IF(B122&lt;&gt;"",ROW()-15,"")</f>
        <v>107</v>
      </c>
      <c r="B122" s="5">
        <v>42554</v>
      </c>
      <c r="C122" s="3">
        <f>YEAR(B122)</f>
        <v>2016</v>
      </c>
      <c r="D122" s="3" t="str">
        <f>YEAR(B122)&amp;"/"&amp;MONTH(B122)</f>
        <v>2016/7</v>
      </c>
      <c r="E122" s="3" t="s">
        <v>8</v>
      </c>
      <c r="F122" s="2" t="s">
        <v>12</v>
      </c>
    </row>
    <row r="123" spans="1:6" x14ac:dyDescent="0.35">
      <c r="A123" s="4">
        <f>IF(B123&lt;&gt;"",ROW()-15,"")</f>
        <v>108</v>
      </c>
      <c r="B123" s="5">
        <v>42568</v>
      </c>
      <c r="C123" s="3">
        <f>YEAR(B123)</f>
        <v>2016</v>
      </c>
      <c r="D123" s="3" t="str">
        <f>YEAR(B123)&amp;"/"&amp;MONTH(B123)</f>
        <v>2016/7</v>
      </c>
      <c r="E123" s="3" t="s">
        <v>1</v>
      </c>
      <c r="F123" s="2" t="s">
        <v>10</v>
      </c>
    </row>
    <row r="124" spans="1:6" x14ac:dyDescent="0.35">
      <c r="A124" s="4">
        <f>IF(B124&lt;&gt;"",ROW()-15,"")</f>
        <v>109</v>
      </c>
      <c r="B124" s="5">
        <v>42589</v>
      </c>
      <c r="C124" s="3">
        <f>YEAR(B124)</f>
        <v>2016</v>
      </c>
      <c r="D124" s="3" t="str">
        <f>YEAR(B124)&amp;"/"&amp;MONTH(B124)</f>
        <v>2016/8</v>
      </c>
      <c r="E124" s="3" t="s">
        <v>8</v>
      </c>
      <c r="F124" s="2" t="s">
        <v>10</v>
      </c>
    </row>
    <row r="125" spans="1:6" x14ac:dyDescent="0.35">
      <c r="A125" s="4">
        <f>IF(B125&lt;&gt;"",ROW()-15,"")</f>
        <v>110</v>
      </c>
      <c r="B125" s="5">
        <v>42603</v>
      </c>
      <c r="C125" s="3">
        <f>YEAR(B125)</f>
        <v>2016</v>
      </c>
      <c r="D125" s="3" t="str">
        <f>YEAR(B125)&amp;"/"&amp;MONTH(B125)</f>
        <v>2016/8</v>
      </c>
      <c r="E125" s="3" t="s">
        <v>1</v>
      </c>
      <c r="F125" s="2" t="s">
        <v>10</v>
      </c>
    </row>
    <row r="126" spans="1:6" x14ac:dyDescent="0.35">
      <c r="A126" s="4">
        <f>IF(B126&lt;&gt;"",ROW()-15,"")</f>
        <v>111</v>
      </c>
      <c r="B126" s="5">
        <v>42631</v>
      </c>
      <c r="C126" s="3">
        <f>YEAR(B126)</f>
        <v>2016</v>
      </c>
      <c r="D126" s="3" t="str">
        <f>YEAR(B126)&amp;"/"&amp;MONTH(B126)</f>
        <v>2016/9</v>
      </c>
      <c r="E126" s="3" t="s">
        <v>8</v>
      </c>
      <c r="F126" s="2" t="s">
        <v>11</v>
      </c>
    </row>
    <row r="127" spans="1:6" x14ac:dyDescent="0.35">
      <c r="A127" s="4">
        <f>IF(B127&lt;&gt;"",ROW()-15,"")</f>
        <v>112</v>
      </c>
      <c r="B127" s="5">
        <v>42665</v>
      </c>
      <c r="C127" s="3">
        <f>YEAR(B127)</f>
        <v>2016</v>
      </c>
      <c r="D127" s="3" t="str">
        <f>YEAR(B127)&amp;"/"&amp;MONTH(B127)</f>
        <v>2016/10</v>
      </c>
      <c r="E127" s="3" t="s">
        <v>8</v>
      </c>
      <c r="F127" s="2" t="s">
        <v>10</v>
      </c>
    </row>
    <row r="128" spans="1:6" x14ac:dyDescent="0.35">
      <c r="A128" s="4">
        <f>IF(B128&lt;&gt;"",ROW()-15,"")</f>
        <v>113</v>
      </c>
      <c r="B128" s="5">
        <v>42708</v>
      </c>
      <c r="C128" s="3">
        <f>YEAR(B128)</f>
        <v>2016</v>
      </c>
      <c r="D128" s="3" t="str">
        <f>YEAR(B128)&amp;"/"&amp;MONTH(B128)</f>
        <v>2016/12</v>
      </c>
      <c r="E128" s="3" t="s">
        <v>8</v>
      </c>
      <c r="F128" s="2" t="s">
        <v>10</v>
      </c>
    </row>
    <row r="129" spans="1:6" x14ac:dyDescent="0.35">
      <c r="A129" s="4">
        <f>IF(B129&lt;&gt;"",ROW()-15,"")</f>
        <v>114</v>
      </c>
      <c r="B129" s="5">
        <v>42727</v>
      </c>
      <c r="C129" s="3">
        <f>YEAR(B129)</f>
        <v>2016</v>
      </c>
      <c r="D129" s="3" t="str">
        <f>YEAR(B129)&amp;"/"&amp;MONTH(B129)</f>
        <v>2016/12</v>
      </c>
      <c r="E129" s="3" t="s">
        <v>1</v>
      </c>
      <c r="F129" s="2" t="s">
        <v>12</v>
      </c>
    </row>
    <row r="130" spans="1:6" x14ac:dyDescent="0.35">
      <c r="A130" s="4">
        <f>IF(B130&lt;&gt;"",ROW()-15,"")</f>
        <v>115</v>
      </c>
      <c r="B130" s="5">
        <v>42743</v>
      </c>
      <c r="C130" s="3">
        <f>YEAR(B130)</f>
        <v>2017</v>
      </c>
      <c r="D130" s="3" t="str">
        <f>YEAR(B130)&amp;"/"&amp;MONTH(B130)</f>
        <v>2017/1</v>
      </c>
      <c r="E130" s="3" t="s">
        <v>1</v>
      </c>
      <c r="F130" s="2" t="s">
        <v>12</v>
      </c>
    </row>
    <row r="131" spans="1:6" x14ac:dyDescent="0.35">
      <c r="A131" s="4">
        <f>IF(B131&lt;&gt;"",ROW()-15,"")</f>
        <v>116</v>
      </c>
      <c r="B131" s="5">
        <v>42763</v>
      </c>
      <c r="C131" s="3">
        <f>YEAR(B131)</f>
        <v>2017</v>
      </c>
      <c r="D131" s="3" t="str">
        <f>YEAR(B131)&amp;"/"&amp;MONTH(B131)</f>
        <v>2017/1</v>
      </c>
      <c r="E131" s="3" t="s">
        <v>1</v>
      </c>
      <c r="F131" s="2" t="s">
        <v>10</v>
      </c>
    </row>
    <row r="132" spans="1:6" x14ac:dyDescent="0.35">
      <c r="A132" s="4">
        <f>IF(B132&lt;&gt;"",ROW()-15,"")</f>
        <v>117</v>
      </c>
      <c r="B132" s="5">
        <v>42777</v>
      </c>
      <c r="C132" s="3">
        <f>YEAR(B132)</f>
        <v>2017</v>
      </c>
      <c r="D132" s="3" t="str">
        <f>YEAR(B132)&amp;"/"&amp;MONTH(B132)</f>
        <v>2017/2</v>
      </c>
      <c r="E132" s="3" t="s">
        <v>1</v>
      </c>
      <c r="F132" s="2" t="s">
        <v>10</v>
      </c>
    </row>
    <row r="133" spans="1:6" x14ac:dyDescent="0.35">
      <c r="A133" s="4">
        <f>IF(B133&lt;&gt;"",ROW()-15,"")</f>
        <v>118</v>
      </c>
      <c r="B133" s="5">
        <v>42791</v>
      </c>
      <c r="C133" s="3">
        <f>YEAR(B133)</f>
        <v>2017</v>
      </c>
      <c r="D133" s="3" t="str">
        <f>YEAR(B133)&amp;"/"&amp;MONTH(B133)</f>
        <v>2017/2</v>
      </c>
      <c r="E133" s="3" t="s">
        <v>1</v>
      </c>
      <c r="F133" s="2" t="s">
        <v>10</v>
      </c>
    </row>
    <row r="134" spans="1:6" x14ac:dyDescent="0.35">
      <c r="A134" s="4">
        <f>IF(B134&lt;&gt;"",ROW()-15,"")</f>
        <v>119</v>
      </c>
      <c r="B134" s="5">
        <v>42805</v>
      </c>
      <c r="C134" s="3">
        <f>YEAR(B134)</f>
        <v>2017</v>
      </c>
      <c r="D134" s="3" t="str">
        <f>YEAR(B134)&amp;"/"&amp;MONTH(B134)</f>
        <v>2017/3</v>
      </c>
      <c r="E134" s="3" t="s">
        <v>1</v>
      </c>
      <c r="F134" s="2" t="s">
        <v>10</v>
      </c>
    </row>
    <row r="135" spans="1:6" x14ac:dyDescent="0.35">
      <c r="A135" s="4">
        <f>IF(B135&lt;&gt;"",ROW()-15,"")</f>
        <v>120</v>
      </c>
      <c r="B135" s="5">
        <v>42819</v>
      </c>
      <c r="C135" s="3">
        <f>YEAR(B135)</f>
        <v>2017</v>
      </c>
      <c r="D135" s="3" t="str">
        <f>YEAR(B135)&amp;"/"&amp;MONTH(B135)</f>
        <v>2017/3</v>
      </c>
      <c r="E135" s="3" t="s">
        <v>1</v>
      </c>
      <c r="F135" s="2" t="s">
        <v>10</v>
      </c>
    </row>
    <row r="136" spans="1:6" x14ac:dyDescent="0.35">
      <c r="A136" s="4">
        <f>IF(B136&lt;&gt;"",ROW()-15,"")</f>
        <v>121</v>
      </c>
      <c r="B136" s="5">
        <v>42833</v>
      </c>
      <c r="C136" s="3">
        <f>YEAR(B136)</f>
        <v>2017</v>
      </c>
      <c r="D136" s="3" t="str">
        <f>YEAR(B136)&amp;"/"&amp;MONTH(B136)</f>
        <v>2017/4</v>
      </c>
      <c r="E136" s="3" t="s">
        <v>1</v>
      </c>
      <c r="F136" s="2" t="s">
        <v>11</v>
      </c>
    </row>
    <row r="137" spans="1:6" x14ac:dyDescent="0.35">
      <c r="A137" s="4">
        <f>IF(B137&lt;&gt;"",ROW()-15,"")</f>
        <v>122</v>
      </c>
      <c r="B137" s="5">
        <v>42847</v>
      </c>
      <c r="C137" s="3">
        <f>YEAR(B137)</f>
        <v>2017</v>
      </c>
      <c r="D137" s="3" t="str">
        <f>YEAR(B137)&amp;"/"&amp;MONTH(B137)</f>
        <v>2017/4</v>
      </c>
      <c r="E137" s="3" t="s">
        <v>1</v>
      </c>
      <c r="F137" s="2" t="s">
        <v>10</v>
      </c>
    </row>
    <row r="138" spans="1:6" x14ac:dyDescent="0.35">
      <c r="A138" s="4">
        <f>IF(B138&lt;&gt;"",ROW()-15,"")</f>
        <v>123</v>
      </c>
      <c r="B138" s="5">
        <v>42861</v>
      </c>
      <c r="C138" s="3">
        <f>YEAR(B138)</f>
        <v>2017</v>
      </c>
      <c r="D138" s="3" t="str">
        <f>YEAR(B138)&amp;"/"&amp;MONTH(B138)</f>
        <v>2017/5</v>
      </c>
      <c r="E138" s="3" t="s">
        <v>1</v>
      </c>
      <c r="F138" s="2" t="s">
        <v>10</v>
      </c>
    </row>
    <row r="139" spans="1:6" x14ac:dyDescent="0.35">
      <c r="A139" s="4">
        <f>IF(B139&lt;&gt;"",ROW()-15,"")</f>
        <v>124</v>
      </c>
      <c r="B139" s="5">
        <v>42875</v>
      </c>
      <c r="C139" s="3">
        <f>YEAR(B139)</f>
        <v>2017</v>
      </c>
      <c r="D139" s="3" t="str">
        <f>YEAR(B139)&amp;"/"&amp;MONTH(B139)</f>
        <v>2017/5</v>
      </c>
      <c r="E139" s="3" t="s">
        <v>1</v>
      </c>
      <c r="F139" s="2" t="s">
        <v>10</v>
      </c>
    </row>
    <row r="140" spans="1:6" x14ac:dyDescent="0.35">
      <c r="A140" s="4">
        <f>IF(B140&lt;&gt;"",ROW()-15,"")</f>
        <v>125</v>
      </c>
      <c r="B140" s="5">
        <v>42890</v>
      </c>
      <c r="C140" s="3">
        <f>YEAR(B140)</f>
        <v>2017</v>
      </c>
      <c r="D140" s="3" t="str">
        <f>YEAR(B140)&amp;"/"&amp;MONTH(B140)</f>
        <v>2017/6</v>
      </c>
      <c r="E140" s="3" t="s">
        <v>1</v>
      </c>
      <c r="F140" s="2" t="s">
        <v>10</v>
      </c>
    </row>
    <row r="141" spans="1:6" x14ac:dyDescent="0.35">
      <c r="A141" s="4">
        <f>IF(B141&lt;&gt;"",ROW()-15,"")</f>
        <v>126</v>
      </c>
      <c r="B141" s="5">
        <v>42922</v>
      </c>
      <c r="C141" s="3">
        <f>YEAR(B141)</f>
        <v>2017</v>
      </c>
      <c r="D141" s="3" t="str">
        <f>YEAR(B141)&amp;"/"&amp;MONTH(B141)</f>
        <v>2017/7</v>
      </c>
      <c r="E141" s="3" t="s">
        <v>1</v>
      </c>
      <c r="F141" s="2" t="s">
        <v>10</v>
      </c>
    </row>
    <row r="142" spans="1:6" x14ac:dyDescent="0.35">
      <c r="A142" s="4">
        <f>IF(B142&lt;&gt;"",ROW()-15,"")</f>
        <v>127</v>
      </c>
      <c r="B142" s="5">
        <v>42939</v>
      </c>
      <c r="C142" s="3">
        <f>YEAR(B142)</f>
        <v>2017</v>
      </c>
      <c r="D142" s="3" t="str">
        <f>YEAR(B142)&amp;"/"&amp;MONTH(B142)</f>
        <v>2017/7</v>
      </c>
      <c r="E142" s="3" t="s">
        <v>8</v>
      </c>
      <c r="F142" s="2" t="s">
        <v>10</v>
      </c>
    </row>
    <row r="143" spans="1:6" x14ac:dyDescent="0.35">
      <c r="A143" s="4">
        <f>IF(B143&lt;&gt;"",ROW()-15,"")</f>
        <v>128</v>
      </c>
      <c r="B143" s="5">
        <v>42966</v>
      </c>
      <c r="C143" s="3">
        <f>YEAR(B143)</f>
        <v>2017</v>
      </c>
      <c r="D143" s="3" t="str">
        <f>YEAR(B143)&amp;"/"&amp;MONTH(B143)</f>
        <v>2017/8</v>
      </c>
      <c r="E143" s="3" t="s">
        <v>8</v>
      </c>
      <c r="F143" s="2" t="s">
        <v>10</v>
      </c>
    </row>
    <row r="144" spans="1:6" x14ac:dyDescent="0.35">
      <c r="A144" s="4">
        <f>IF(B144&lt;&gt;"",ROW()-15,"")</f>
        <v>129</v>
      </c>
      <c r="B144" s="5">
        <v>42987</v>
      </c>
      <c r="C144" s="3">
        <f>YEAR(B144)</f>
        <v>2017</v>
      </c>
      <c r="D144" s="3" t="str">
        <f>YEAR(B144)&amp;"/"&amp;MONTH(B144)</f>
        <v>2017/9</v>
      </c>
      <c r="E144" s="3" t="s">
        <v>1</v>
      </c>
      <c r="F144" s="2" t="s">
        <v>10</v>
      </c>
    </row>
    <row r="145" spans="1:6" x14ac:dyDescent="0.35">
      <c r="A145" s="4">
        <f>IF(B145&lt;&gt;"",ROW()-15,"")</f>
        <v>130</v>
      </c>
      <c r="B145" s="5">
        <v>43016</v>
      </c>
      <c r="C145" s="3">
        <f>YEAR(B145)</f>
        <v>2017</v>
      </c>
      <c r="D145" s="3" t="str">
        <f>YEAR(B145)&amp;"/"&amp;MONTH(B145)</f>
        <v>2017/10</v>
      </c>
      <c r="E145" s="3" t="s">
        <v>1</v>
      </c>
      <c r="F145" s="2" t="s">
        <v>10</v>
      </c>
    </row>
    <row r="146" spans="1:6" x14ac:dyDescent="0.35">
      <c r="A146" s="4">
        <f>IF(B146&lt;&gt;"",ROW()-15,"")</f>
        <v>131</v>
      </c>
      <c r="B146" s="5">
        <v>43107</v>
      </c>
      <c r="C146" s="3">
        <f>YEAR(B146)</f>
        <v>2018</v>
      </c>
      <c r="D146" s="3" t="str">
        <f>YEAR(B146)&amp;"/"&amp;MONTH(B146)</f>
        <v>2018/1</v>
      </c>
      <c r="E146" s="3" t="s">
        <v>1</v>
      </c>
      <c r="F146" s="2" t="s">
        <v>10</v>
      </c>
    </row>
    <row r="147" spans="1:6" x14ac:dyDescent="0.35">
      <c r="A147" s="4">
        <f>IF(B147&lt;&gt;"",ROW()-15,"")</f>
        <v>132</v>
      </c>
      <c r="B147" s="5">
        <v>43121</v>
      </c>
      <c r="C147" s="3">
        <f>YEAR(B147)</f>
        <v>2018</v>
      </c>
      <c r="D147" s="3" t="str">
        <f>YEAR(B147)&amp;"/"&amp;MONTH(B147)</f>
        <v>2018/1</v>
      </c>
      <c r="E147" s="3" t="s">
        <v>8</v>
      </c>
      <c r="F147" s="2" t="s">
        <v>10</v>
      </c>
    </row>
    <row r="148" spans="1:6" x14ac:dyDescent="0.35">
      <c r="A148" s="4">
        <f>IF(B148&lt;&gt;"",ROW()-15,"")</f>
        <v>133</v>
      </c>
      <c r="B148" s="5">
        <v>43149</v>
      </c>
      <c r="C148" s="3">
        <f>YEAR(B148)</f>
        <v>2018</v>
      </c>
      <c r="D148" s="3" t="str">
        <f>YEAR(B148)&amp;"/"&amp;MONTH(B148)</f>
        <v>2018/2</v>
      </c>
      <c r="E148" s="3" t="s">
        <v>8</v>
      </c>
      <c r="F148" s="2" t="s">
        <v>11</v>
      </c>
    </row>
    <row r="149" spans="1:6" x14ac:dyDescent="0.35">
      <c r="A149" s="4">
        <f>IF(B149&lt;&gt;"",ROW()-15,"")</f>
        <v>134</v>
      </c>
      <c r="B149" s="5">
        <v>43190</v>
      </c>
      <c r="C149" s="3">
        <f>YEAR(B149)</f>
        <v>2018</v>
      </c>
      <c r="D149" s="3" t="str">
        <f>YEAR(B149)&amp;"/"&amp;MONTH(B149)</f>
        <v>2018/3</v>
      </c>
      <c r="E149" s="3" t="s">
        <v>8</v>
      </c>
      <c r="F149" s="2" t="s">
        <v>10</v>
      </c>
    </row>
    <row r="150" spans="1:6" x14ac:dyDescent="0.35">
      <c r="A150" s="4">
        <f>IF(B150&lt;&gt;"",ROW()-15,"")</f>
        <v>135</v>
      </c>
      <c r="B150" s="5">
        <v>43220</v>
      </c>
      <c r="C150" s="3">
        <f>YEAR(B150)</f>
        <v>2018</v>
      </c>
      <c r="D150" s="3" t="str">
        <f>YEAR(B150)&amp;"/"&amp;MONTH(B150)</f>
        <v>2018/4</v>
      </c>
      <c r="E150" s="3" t="s">
        <v>8</v>
      </c>
      <c r="F150" s="2" t="s">
        <v>10</v>
      </c>
    </row>
    <row r="151" spans="1:6" x14ac:dyDescent="0.35">
      <c r="A151" s="4">
        <f>IF(B151&lt;&gt;"",ROW()-15,"")</f>
        <v>136</v>
      </c>
      <c r="B151" s="5">
        <v>44021</v>
      </c>
      <c r="C151" s="3">
        <f>YEAR(B151)</f>
        <v>2020</v>
      </c>
      <c r="D151" s="3" t="str">
        <f>YEAR(B151)&amp;"/"&amp;MONTH(B151)</f>
        <v>2020/7</v>
      </c>
      <c r="E151" s="3" t="s">
        <v>9</v>
      </c>
      <c r="F151" s="2" t="s">
        <v>14</v>
      </c>
    </row>
    <row r="152" spans="1:6" x14ac:dyDescent="0.35">
      <c r="A152" s="4">
        <f>IF(B152&lt;&gt;"",ROW()-15,"")</f>
        <v>137</v>
      </c>
      <c r="B152" s="5">
        <v>44108</v>
      </c>
      <c r="C152" s="3">
        <f>YEAR(B152)</f>
        <v>2020</v>
      </c>
      <c r="D152" s="3" t="str">
        <f>YEAR(B152)&amp;"/"&amp;MONTH(B152)</f>
        <v>2020/10</v>
      </c>
      <c r="E152" s="3" t="s">
        <v>9</v>
      </c>
      <c r="F152" s="2" t="s">
        <v>13</v>
      </c>
    </row>
    <row r="153" spans="1:6" x14ac:dyDescent="0.35">
      <c r="A153" s="4">
        <f>IF(B153&lt;&gt;"",ROW()-15,"")</f>
        <v>138</v>
      </c>
      <c r="B153" s="5">
        <v>44194</v>
      </c>
      <c r="C153" s="3">
        <f>YEAR(B153)</f>
        <v>2020</v>
      </c>
      <c r="D153" s="3" t="str">
        <f>YEAR(B153)&amp;"/"&amp;MONTH(B153)</f>
        <v>2020/12</v>
      </c>
      <c r="E153" s="3" t="s">
        <v>9</v>
      </c>
      <c r="F153" s="2" t="s">
        <v>10</v>
      </c>
    </row>
    <row r="154" spans="1:6" x14ac:dyDescent="0.35">
      <c r="A154" s="4">
        <f>IF(B154&lt;&gt;"",ROW()-15,"")</f>
        <v>139</v>
      </c>
      <c r="B154" s="5">
        <v>44255</v>
      </c>
      <c r="C154" s="3">
        <f>YEAR(B154)</f>
        <v>2021</v>
      </c>
      <c r="D154" s="3" t="str">
        <f>YEAR(B154)&amp;"/"&amp;MONTH(B154)</f>
        <v>2021/2</v>
      </c>
      <c r="E154" s="3" t="s">
        <v>1</v>
      </c>
      <c r="F154" s="2" t="s">
        <v>11</v>
      </c>
    </row>
    <row r="155" spans="1:6" x14ac:dyDescent="0.35">
      <c r="A155" s="4">
        <f>IF(B155&lt;&gt;"",ROW()-15,"")</f>
        <v>140</v>
      </c>
      <c r="B155" s="5">
        <v>44269</v>
      </c>
      <c r="C155" s="3">
        <f>YEAR(B155)</f>
        <v>2021</v>
      </c>
      <c r="D155" s="3" t="str">
        <f>YEAR(B155)&amp;"/"&amp;MONTH(B155)</f>
        <v>2021/3</v>
      </c>
      <c r="E155" s="3" t="s">
        <v>8</v>
      </c>
      <c r="F155" s="2" t="s">
        <v>12</v>
      </c>
    </row>
    <row r="156" spans="1:6" x14ac:dyDescent="0.35">
      <c r="A156" s="4">
        <f>IF(B156&lt;&gt;"",ROW()-15,"")</f>
        <v>141</v>
      </c>
      <c r="B156" s="5">
        <v>44283</v>
      </c>
      <c r="C156" s="3">
        <f>YEAR(B156)</f>
        <v>2021</v>
      </c>
      <c r="D156" s="3" t="str">
        <f>YEAR(B156)&amp;"/"&amp;MONTH(B156)</f>
        <v>2021/3</v>
      </c>
      <c r="E156" s="3" t="s">
        <v>1</v>
      </c>
      <c r="F156" s="2" t="s">
        <v>10</v>
      </c>
    </row>
    <row r="157" spans="1:6" x14ac:dyDescent="0.35">
      <c r="A157" s="4">
        <f>IF(B157&lt;&gt;"",ROW()-15,"")</f>
        <v>142</v>
      </c>
      <c r="B157" s="5">
        <v>44304</v>
      </c>
      <c r="C157" s="3">
        <f>YEAR(B157)</f>
        <v>2021</v>
      </c>
      <c r="D157" s="3" t="str">
        <f>YEAR(B157)&amp;"/"&amp;MONTH(B157)</f>
        <v>2021/4</v>
      </c>
      <c r="E157" s="3" t="s">
        <v>1</v>
      </c>
      <c r="F157" s="2" t="s">
        <v>11</v>
      </c>
    </row>
    <row r="158" spans="1:6" x14ac:dyDescent="0.35">
      <c r="A158" s="4">
        <f>IF(B158&lt;&gt;"",ROW()-15,"")</f>
        <v>143</v>
      </c>
      <c r="B158" s="5">
        <v>44332</v>
      </c>
      <c r="C158" s="3">
        <f>YEAR(B158)</f>
        <v>2021</v>
      </c>
      <c r="D158" s="3" t="str">
        <f>YEAR(B158)&amp;"/"&amp;MONTH(B158)</f>
        <v>2021/5</v>
      </c>
      <c r="E158" s="3" t="s">
        <v>8</v>
      </c>
      <c r="F158" s="2" t="s">
        <v>12</v>
      </c>
    </row>
    <row r="159" spans="1:6" x14ac:dyDescent="0.35">
      <c r="A159" s="4">
        <f>IF(B159&lt;&gt;"",ROW()-15,"")</f>
        <v>144</v>
      </c>
      <c r="B159" s="5">
        <v>44354</v>
      </c>
      <c r="C159" s="3">
        <f>YEAR(B159)</f>
        <v>2021</v>
      </c>
      <c r="D159" s="3" t="str">
        <f>YEAR(B159)&amp;"/"&amp;MONTH(B159)</f>
        <v>2021/6</v>
      </c>
      <c r="E159" s="3" t="s">
        <v>8</v>
      </c>
      <c r="F159" s="2" t="s">
        <v>10</v>
      </c>
    </row>
    <row r="160" spans="1:6" x14ac:dyDescent="0.35">
      <c r="A160" s="4">
        <f>IF(B160&lt;&gt;"",ROW()-15,"")</f>
        <v>145</v>
      </c>
      <c r="B160" s="5">
        <v>44373</v>
      </c>
      <c r="C160" s="3">
        <f>YEAR(B160)</f>
        <v>2021</v>
      </c>
      <c r="D160" s="3" t="str">
        <f>YEAR(B160)&amp;"/"&amp;MONTH(B160)</f>
        <v>2021/6</v>
      </c>
      <c r="E160" s="3" t="s">
        <v>8</v>
      </c>
      <c r="F160" s="2" t="s">
        <v>10</v>
      </c>
    </row>
    <row r="161" spans="1:6" x14ac:dyDescent="0.35">
      <c r="A161" s="4">
        <f>IF(B161&lt;&gt;"",ROW()-15,"")</f>
        <v>146</v>
      </c>
      <c r="B161" s="5">
        <v>44387</v>
      </c>
      <c r="C161" s="3">
        <f>YEAR(B161)</f>
        <v>2021</v>
      </c>
      <c r="D161" s="3" t="str">
        <f>YEAR(B161)&amp;"/"&amp;MONTH(B161)</f>
        <v>2021/7</v>
      </c>
      <c r="E161" s="3" t="s">
        <v>9</v>
      </c>
      <c r="F161" s="2" t="s">
        <v>10</v>
      </c>
    </row>
    <row r="162" spans="1:6" x14ac:dyDescent="0.35">
      <c r="A162" s="4">
        <f>IF(B162&lt;&gt;"",ROW()-15,"")</f>
        <v>147</v>
      </c>
      <c r="B162" s="5">
        <v>44444</v>
      </c>
      <c r="C162" s="3">
        <f>YEAR(B162)</f>
        <v>2021</v>
      </c>
      <c r="D162" s="3" t="str">
        <f>YEAR(B162)&amp;"/"&amp;MONTH(B162)</f>
        <v>2021/9</v>
      </c>
      <c r="E162" s="3" t="s">
        <v>8</v>
      </c>
      <c r="F162" s="2" t="s">
        <v>12</v>
      </c>
    </row>
    <row r="163" spans="1:6" x14ac:dyDescent="0.35">
      <c r="A163" s="4">
        <f>IF(B163&lt;&gt;"",ROW()-15,"")</f>
        <v>148</v>
      </c>
      <c r="B163" s="5">
        <v>44459</v>
      </c>
      <c r="C163" s="3">
        <f>YEAR(B163)</f>
        <v>2021</v>
      </c>
      <c r="D163" s="3" t="str">
        <f>YEAR(B163)&amp;"/"&amp;MONTH(B163)</f>
        <v>2021/9</v>
      </c>
      <c r="E163" s="3" t="s">
        <v>8</v>
      </c>
      <c r="F163" s="2" t="s">
        <v>11</v>
      </c>
    </row>
    <row r="164" spans="1:6" x14ac:dyDescent="0.35">
      <c r="A164" s="4">
        <f>IF(B164&lt;&gt;"",ROW()-15,"")</f>
        <v>149</v>
      </c>
      <c r="B164" s="5">
        <v>44478</v>
      </c>
      <c r="C164" s="3">
        <f>YEAR(B164)</f>
        <v>2021</v>
      </c>
      <c r="D164" s="3" t="str">
        <f>YEAR(B164)&amp;"/"&amp;MONTH(B164)</f>
        <v>2021/10</v>
      </c>
      <c r="E164" s="3" t="s">
        <v>8</v>
      </c>
      <c r="F164" s="2" t="s">
        <v>10</v>
      </c>
    </row>
    <row r="165" spans="1:6" x14ac:dyDescent="0.35">
      <c r="A165" s="4">
        <f>IF(B165&lt;&gt;"",ROW()-15,"")</f>
        <v>150</v>
      </c>
      <c r="B165" s="5">
        <v>44492</v>
      </c>
      <c r="C165" s="3">
        <f>YEAR(B165)</f>
        <v>2021</v>
      </c>
      <c r="D165" s="3" t="str">
        <f>YEAR(B165)&amp;"/"&amp;MONTH(B165)</f>
        <v>2021/10</v>
      </c>
      <c r="E165" s="3" t="s">
        <v>1</v>
      </c>
      <c r="F165" s="2" t="s">
        <v>10</v>
      </c>
    </row>
    <row r="166" spans="1:6" x14ac:dyDescent="0.35">
      <c r="A166" s="4">
        <f>IF(B166&lt;&gt;"",ROW()-15,"")</f>
        <v>151</v>
      </c>
      <c r="B166" s="5">
        <v>44507</v>
      </c>
      <c r="C166" s="3">
        <f>YEAR(B166)</f>
        <v>2021</v>
      </c>
      <c r="D166" s="3" t="str">
        <f>YEAR(B166)&amp;"/"&amp;MONTH(B166)</f>
        <v>2021/11</v>
      </c>
      <c r="E166" s="3" t="s">
        <v>8</v>
      </c>
      <c r="F166" s="2" t="s">
        <v>12</v>
      </c>
    </row>
    <row r="167" spans="1:6" x14ac:dyDescent="0.35">
      <c r="A167" s="4">
        <f>IF(B167&lt;&gt;"",ROW()-15,"")</f>
        <v>152</v>
      </c>
      <c r="B167" s="5">
        <v>44521</v>
      </c>
      <c r="C167" s="3">
        <f>YEAR(B167)</f>
        <v>2021</v>
      </c>
      <c r="D167" s="3" t="str">
        <f>YEAR(B167)&amp;"/"&amp;MONTH(B167)</f>
        <v>2021/11</v>
      </c>
      <c r="E167" s="3" t="s">
        <v>1</v>
      </c>
      <c r="F167" s="2" t="s">
        <v>11</v>
      </c>
    </row>
    <row r="168" spans="1:6" x14ac:dyDescent="0.35">
      <c r="A168" s="4">
        <f>IF(B168&lt;&gt;"",ROW()-15,"")</f>
        <v>153</v>
      </c>
      <c r="B168" s="5">
        <v>44535</v>
      </c>
      <c r="C168" s="3">
        <f>YEAR(B168)</f>
        <v>2021</v>
      </c>
      <c r="D168" s="3" t="str">
        <f>YEAR(B168)&amp;"/"&amp;MONTH(B168)</f>
        <v>2021/12</v>
      </c>
      <c r="E168" s="3" t="s">
        <v>8</v>
      </c>
      <c r="F168" s="2" t="s">
        <v>10</v>
      </c>
    </row>
    <row r="169" spans="1:6" x14ac:dyDescent="0.35">
      <c r="A169" s="4">
        <f>IF(B169&lt;&gt;"",ROW()-15,"")</f>
        <v>154</v>
      </c>
      <c r="B169" s="5">
        <v>44549</v>
      </c>
      <c r="C169" s="3">
        <f>YEAR(B169)</f>
        <v>2021</v>
      </c>
      <c r="D169" s="3" t="str">
        <f>YEAR(B169)&amp;"/"&amp;MONTH(B169)</f>
        <v>2021/12</v>
      </c>
      <c r="E169" s="3" t="s">
        <v>1</v>
      </c>
      <c r="F169" s="2" t="s">
        <v>10</v>
      </c>
    </row>
    <row r="170" spans="1:6" x14ac:dyDescent="0.35">
      <c r="A170" s="4">
        <f>IF(B170&lt;&gt;"",ROW()-15,"")</f>
        <v>155</v>
      </c>
      <c r="B170" s="5">
        <v>44563</v>
      </c>
      <c r="C170" s="3">
        <f>YEAR(B170)</f>
        <v>2022</v>
      </c>
      <c r="D170" s="3" t="str">
        <f>YEAR(B170)&amp;"/"&amp;MONTH(B170)</f>
        <v>2022/1</v>
      </c>
      <c r="E170" s="3" t="s">
        <v>9</v>
      </c>
      <c r="F170" s="2" t="s">
        <v>10</v>
      </c>
    </row>
    <row r="171" spans="1:6" x14ac:dyDescent="0.35">
      <c r="A171" s="4">
        <f>IF(B171&lt;&gt;"",ROW()-15,"")</f>
        <v>156</v>
      </c>
      <c r="B171" s="5">
        <v>44619</v>
      </c>
      <c r="C171" s="3">
        <f>YEAR(B171)</f>
        <v>2022</v>
      </c>
      <c r="D171" s="3" t="str">
        <f>YEAR(B171)&amp;"/"&amp;MONTH(B171)</f>
        <v>2022/2</v>
      </c>
      <c r="E171" s="3" t="s">
        <v>1</v>
      </c>
      <c r="F171" s="2" t="s">
        <v>10</v>
      </c>
    </row>
    <row r="172" spans="1:6" x14ac:dyDescent="0.35">
      <c r="A172" s="4">
        <f>IF(B172&lt;&gt;"",ROW()-15,"")</f>
        <v>157</v>
      </c>
      <c r="B172" s="5">
        <v>44633</v>
      </c>
      <c r="C172" s="3">
        <f>YEAR(B172)</f>
        <v>2022</v>
      </c>
      <c r="D172" s="3" t="str">
        <f>YEAR(B172)&amp;"/"&amp;MONTH(B172)</f>
        <v>2022/3</v>
      </c>
      <c r="E172" s="3" t="s">
        <v>1</v>
      </c>
      <c r="F172" s="2" t="s">
        <v>10</v>
      </c>
    </row>
    <row r="173" spans="1:6" x14ac:dyDescent="0.35">
      <c r="A173" s="4">
        <f>IF(B173&lt;&gt;"",ROW()-15,"")</f>
        <v>158</v>
      </c>
      <c r="B173" s="5">
        <v>44647</v>
      </c>
      <c r="C173" s="3">
        <f>YEAR(B173)</f>
        <v>2022</v>
      </c>
      <c r="D173" s="3" t="str">
        <f>YEAR(B173)&amp;"/"&amp;MONTH(B173)</f>
        <v>2022/3</v>
      </c>
      <c r="E173" s="3" t="s">
        <v>8</v>
      </c>
      <c r="F173" s="2" t="s">
        <v>10</v>
      </c>
    </row>
    <row r="174" spans="1:6" x14ac:dyDescent="0.35">
      <c r="A174" s="4">
        <f>IF(B174&lt;&gt;"",ROW()-15,"")</f>
        <v>159</v>
      </c>
      <c r="B174" s="5">
        <v>44668</v>
      </c>
      <c r="C174" s="3">
        <f>YEAR(B174)</f>
        <v>2022</v>
      </c>
      <c r="D174" s="3" t="str">
        <f>YEAR(B174)&amp;"/"&amp;MONTH(B174)</f>
        <v>2022/4</v>
      </c>
      <c r="E174" s="3" t="s">
        <v>1</v>
      </c>
      <c r="F174" s="2" t="s">
        <v>7</v>
      </c>
    </row>
    <row r="175" spans="1:6" x14ac:dyDescent="0.35">
      <c r="A175" s="4">
        <f>IF(B175&lt;&gt;"",ROW()-15,"")</f>
        <v>160</v>
      </c>
      <c r="B175" s="5">
        <v>44696</v>
      </c>
      <c r="C175" s="3">
        <f>YEAR(B175)</f>
        <v>2022</v>
      </c>
      <c r="D175" s="3" t="str">
        <f>YEAR(B175)&amp;"/"&amp;MONTH(B175)</f>
        <v>2022/5</v>
      </c>
      <c r="E175" s="3" t="s">
        <v>8</v>
      </c>
      <c r="F175" s="2" t="s">
        <v>7</v>
      </c>
    </row>
    <row r="176" spans="1:6" x14ac:dyDescent="0.35">
      <c r="A176" s="4">
        <f>IF(B176&lt;&gt;"",ROW()-15,"")</f>
        <v>161</v>
      </c>
      <c r="B176" s="5">
        <v>44724</v>
      </c>
      <c r="C176" s="3">
        <f>YEAR(B176)</f>
        <v>2022</v>
      </c>
      <c r="D176" s="3" t="str">
        <f>YEAR(B176)&amp;"/"&amp;MONTH(B176)</f>
        <v>2022/6</v>
      </c>
      <c r="E176" s="3" t="s">
        <v>8</v>
      </c>
      <c r="F176" s="2" t="s">
        <v>7</v>
      </c>
    </row>
    <row r="177" spans="1:6" x14ac:dyDescent="0.35">
      <c r="A177" s="4">
        <f>IF(B177&lt;&gt;"",ROW()-15,"")</f>
        <v>162</v>
      </c>
      <c r="B177" s="5">
        <v>44738</v>
      </c>
      <c r="C177" s="3">
        <f>YEAR(B177)</f>
        <v>2022</v>
      </c>
      <c r="D177" s="3" t="str">
        <f>YEAR(B177)&amp;"/"&amp;MONTH(B177)</f>
        <v>2022/6</v>
      </c>
      <c r="E177" s="3" t="s">
        <v>1</v>
      </c>
      <c r="F177" s="2" t="s">
        <v>7</v>
      </c>
    </row>
    <row r="178" spans="1:6" x14ac:dyDescent="0.35">
      <c r="A178" s="4">
        <f>IF(B178&lt;&gt;"",ROW()-15,"")</f>
        <v>163</v>
      </c>
      <c r="B178" s="5">
        <v>44752</v>
      </c>
      <c r="C178" s="3">
        <f>YEAR(B178)</f>
        <v>2022</v>
      </c>
      <c r="D178" s="3" t="str">
        <f>YEAR(B178)&amp;"/"&amp;MONTH(B178)</f>
        <v>2022/7</v>
      </c>
      <c r="E178" s="3" t="s">
        <v>1</v>
      </c>
      <c r="F178" s="2" t="s">
        <v>7</v>
      </c>
    </row>
    <row r="179" spans="1:6" x14ac:dyDescent="0.35">
      <c r="A179" s="4">
        <f>IF(B179&lt;&gt;"",ROW()-15,"")</f>
        <v>164</v>
      </c>
      <c r="B179" s="5">
        <v>44766</v>
      </c>
      <c r="C179" s="3">
        <f>YEAR(B179)</f>
        <v>2022</v>
      </c>
      <c r="D179" s="3" t="str">
        <f>YEAR(B179)&amp;"/"&amp;MONTH(B179)</f>
        <v>2022/7</v>
      </c>
      <c r="E179" s="3" t="s">
        <v>9</v>
      </c>
      <c r="F179" s="2" t="s">
        <v>7</v>
      </c>
    </row>
    <row r="180" spans="1:6" x14ac:dyDescent="0.35">
      <c r="A180" s="4">
        <f>IF(B180&lt;&gt;"",ROW()-15,"")</f>
        <v>165</v>
      </c>
      <c r="B180" s="5">
        <v>44822</v>
      </c>
      <c r="C180" s="3">
        <f>YEAR(B180)</f>
        <v>2022</v>
      </c>
      <c r="D180" s="3" t="str">
        <f>YEAR(B180)&amp;"/"&amp;MONTH(B180)</f>
        <v>2022/9</v>
      </c>
      <c r="E180" s="3" t="s">
        <v>8</v>
      </c>
      <c r="F180" s="2" t="s">
        <v>7</v>
      </c>
    </row>
    <row r="181" spans="1:6" x14ac:dyDescent="0.35">
      <c r="A181" s="4">
        <f>IF(B181&lt;&gt;"",ROW()-15,"")</f>
        <v>166</v>
      </c>
      <c r="B181" s="5">
        <v>44836</v>
      </c>
      <c r="C181" s="3">
        <f>YEAR(B181)</f>
        <v>2022</v>
      </c>
      <c r="D181" s="3" t="str">
        <f>YEAR(B181)&amp;"/"&amp;MONTH(B181)</f>
        <v>2022/10</v>
      </c>
      <c r="E181" s="3" t="s">
        <v>1</v>
      </c>
      <c r="F181" s="2" t="s">
        <v>7</v>
      </c>
    </row>
    <row r="182" spans="1:6" x14ac:dyDescent="0.35">
      <c r="A182" s="4">
        <f>IF(B182&lt;&gt;"",ROW()-15,"")</f>
        <v>167</v>
      </c>
      <c r="B182" s="5">
        <v>44850</v>
      </c>
      <c r="C182" s="3">
        <f>YEAR(B182)</f>
        <v>2022</v>
      </c>
      <c r="D182" s="3" t="str">
        <f>YEAR(B182)&amp;"/"&amp;MONTH(B182)</f>
        <v>2022/10</v>
      </c>
      <c r="E182" s="3" t="s">
        <v>1</v>
      </c>
      <c r="F182" s="2" t="s">
        <v>7</v>
      </c>
    </row>
    <row r="183" spans="1:6" x14ac:dyDescent="0.35">
      <c r="A183" s="4">
        <f>IF(B183&lt;&gt;"",ROW()-15,"")</f>
        <v>168</v>
      </c>
      <c r="B183" s="5">
        <v>44864</v>
      </c>
      <c r="C183" s="3">
        <f>YEAR(B183)</f>
        <v>2022</v>
      </c>
      <c r="D183" s="3" t="str">
        <f>YEAR(B183)&amp;"/"&amp;MONTH(B183)</f>
        <v>2022/10</v>
      </c>
      <c r="E183" s="3" t="s">
        <v>1</v>
      </c>
      <c r="F183" s="2" t="s">
        <v>5</v>
      </c>
    </row>
    <row r="184" spans="1:6" x14ac:dyDescent="0.35">
      <c r="A184" s="4">
        <f>IF(B184&lt;&gt;"",ROW()-15,"")</f>
        <v>169</v>
      </c>
      <c r="B184" s="5">
        <v>44878</v>
      </c>
      <c r="C184" s="3">
        <f>YEAR(B184)</f>
        <v>2022</v>
      </c>
      <c r="D184" s="3" t="str">
        <f>YEAR(B184)&amp;"/"&amp;MONTH(B184)</f>
        <v>2022/11</v>
      </c>
      <c r="E184" s="3" t="s">
        <v>1</v>
      </c>
      <c r="F184" s="2" t="s">
        <v>7</v>
      </c>
    </row>
    <row r="185" spans="1:6" x14ac:dyDescent="0.35">
      <c r="A185" s="4">
        <f>IF(B185&lt;&gt;"",ROW()-15,"")</f>
        <v>170</v>
      </c>
      <c r="B185" s="5">
        <v>44892</v>
      </c>
      <c r="C185" s="3">
        <f>YEAR(B185)</f>
        <v>2022</v>
      </c>
      <c r="D185" s="3" t="str">
        <f>YEAR(B185)&amp;"/"&amp;MONTH(B185)</f>
        <v>2022/11</v>
      </c>
      <c r="E185" s="3" t="s">
        <v>8</v>
      </c>
      <c r="F185" s="2" t="s">
        <v>7</v>
      </c>
    </row>
    <row r="186" spans="1:6" x14ac:dyDescent="0.35">
      <c r="A186" s="4">
        <f>IF(B186&lt;&gt;"",ROW()-15,"")</f>
        <v>171</v>
      </c>
      <c r="B186" s="5">
        <v>44906</v>
      </c>
      <c r="C186" s="3">
        <f>YEAR(B186)</f>
        <v>2022</v>
      </c>
      <c r="D186" s="3" t="str">
        <f>YEAR(B186)&amp;"/"&amp;MONTH(B186)</f>
        <v>2022/12</v>
      </c>
      <c r="E186" s="3" t="s">
        <v>8</v>
      </c>
      <c r="F186" s="2" t="s">
        <v>7</v>
      </c>
    </row>
    <row r="187" spans="1:6" x14ac:dyDescent="0.35">
      <c r="A187" s="4">
        <f>IF(B187&lt;&gt;"",ROW()-15,"")</f>
        <v>172</v>
      </c>
      <c r="B187" s="5">
        <v>44920</v>
      </c>
      <c r="C187" s="3">
        <f>YEAR(B187)</f>
        <v>2022</v>
      </c>
      <c r="D187" s="3" t="str">
        <f>YEAR(B187)&amp;"/"&amp;MONTH(B187)</f>
        <v>2022/12</v>
      </c>
      <c r="E187" s="3" t="s">
        <v>1</v>
      </c>
      <c r="F187" s="2" t="s">
        <v>7</v>
      </c>
    </row>
    <row r="188" spans="1:6" x14ac:dyDescent="0.35">
      <c r="A188" s="4">
        <f>IF(B188&lt;&gt;"",ROW()-15,"")</f>
        <v>173</v>
      </c>
      <c r="B188" s="5">
        <v>44934</v>
      </c>
      <c r="C188" s="3">
        <f>YEAR(B188)</f>
        <v>2023</v>
      </c>
      <c r="D188" s="3" t="str">
        <f>YEAR(B188)&amp;"/"&amp;MONTH(B188)</f>
        <v>2023/1</v>
      </c>
      <c r="E188" s="3" t="s">
        <v>1</v>
      </c>
      <c r="F188" s="2" t="s">
        <v>7</v>
      </c>
    </row>
    <row r="189" spans="1:6" x14ac:dyDescent="0.35">
      <c r="A189" s="4">
        <f>IF(B189&lt;&gt;"",ROW()-15,"")</f>
        <v>174</v>
      </c>
      <c r="B189" s="5">
        <v>44948</v>
      </c>
      <c r="C189" s="3">
        <f>YEAR(B189)</f>
        <v>2023</v>
      </c>
      <c r="D189" s="3" t="str">
        <f>YEAR(B189)&amp;"/"&amp;MONTH(B189)</f>
        <v>2023/1</v>
      </c>
      <c r="E189" s="3" t="s">
        <v>1</v>
      </c>
      <c r="F189" s="2" t="s">
        <v>7</v>
      </c>
    </row>
    <row r="190" spans="1:6" x14ac:dyDescent="0.35">
      <c r="A190" s="4">
        <f>IF(B190&lt;&gt;"",ROW()-15,"")</f>
        <v>175</v>
      </c>
      <c r="B190" s="5">
        <v>44983</v>
      </c>
      <c r="C190" s="3">
        <f>YEAR(B190)</f>
        <v>2023</v>
      </c>
      <c r="D190" s="3" t="str">
        <f>YEAR(B190)&amp;"/"&amp;MONTH(B190)</f>
        <v>2023/2</v>
      </c>
      <c r="E190" s="3" t="s">
        <v>1</v>
      </c>
      <c r="F190" s="2" t="s">
        <v>7</v>
      </c>
    </row>
    <row r="191" spans="1:6" x14ac:dyDescent="0.35">
      <c r="A191" s="4">
        <f>IF(B191&lt;&gt;"",ROW()-15,"")</f>
        <v>176</v>
      </c>
      <c r="B191" s="5">
        <v>44997</v>
      </c>
      <c r="C191" s="3">
        <f>YEAR(B191)</f>
        <v>2023</v>
      </c>
      <c r="D191" s="3" t="str">
        <f>YEAR(B191)&amp;"/"&amp;MONTH(B191)</f>
        <v>2023/3</v>
      </c>
      <c r="E191" s="3" t="s">
        <v>1</v>
      </c>
      <c r="F191" s="2" t="s">
        <v>5</v>
      </c>
    </row>
    <row r="192" spans="1:6" x14ac:dyDescent="0.35">
      <c r="A192" s="4">
        <f>IF(B192&lt;&gt;"",ROW()-15,"")</f>
        <v>177</v>
      </c>
      <c r="B192" s="5">
        <v>45011</v>
      </c>
      <c r="C192" s="3">
        <f>YEAR(B192)</f>
        <v>2023</v>
      </c>
      <c r="D192" s="3" t="str">
        <f>YEAR(B192)&amp;"/"&amp;MONTH(B192)</f>
        <v>2023/3</v>
      </c>
      <c r="E192" s="3" t="s">
        <v>1</v>
      </c>
      <c r="F192" s="2" t="s">
        <v>7</v>
      </c>
    </row>
    <row r="193" spans="1:6" x14ac:dyDescent="0.35">
      <c r="A193" s="4">
        <f>IF(B193&lt;&gt;"",ROW()-15,"")</f>
        <v>178</v>
      </c>
      <c r="B193" s="5">
        <v>45025</v>
      </c>
      <c r="C193" s="3">
        <f>YEAR(B193)</f>
        <v>2023</v>
      </c>
      <c r="D193" s="3" t="str">
        <f>YEAR(B193)&amp;"/"&amp;MONTH(B193)</f>
        <v>2023/4</v>
      </c>
      <c r="E193" s="3" t="s">
        <v>1</v>
      </c>
      <c r="F193" s="2" t="s">
        <v>7</v>
      </c>
    </row>
    <row r="194" spans="1:6" x14ac:dyDescent="0.35">
      <c r="A194" s="4">
        <f>IF(B194&lt;&gt;"",ROW()-15,"")</f>
        <v>179</v>
      </c>
      <c r="B194" s="5">
        <v>45039</v>
      </c>
      <c r="C194" s="3">
        <f>YEAR(B194)</f>
        <v>2023</v>
      </c>
      <c r="D194" s="3" t="str">
        <f>YEAR(B194)&amp;"/"&amp;MONTH(B194)</f>
        <v>2023/4</v>
      </c>
      <c r="E194" s="3" t="s">
        <v>1</v>
      </c>
      <c r="F194" s="2" t="s">
        <v>7</v>
      </c>
    </row>
    <row r="195" spans="1:6" x14ac:dyDescent="0.35">
      <c r="A195" s="4">
        <f>IF(B195&lt;&gt;"",ROW()-15,"")</f>
        <v>180</v>
      </c>
      <c r="B195" s="5">
        <v>45060</v>
      </c>
      <c r="C195" s="3">
        <f>YEAR(B195)</f>
        <v>2023</v>
      </c>
      <c r="D195" s="3" t="str">
        <f>YEAR(B195)&amp;"/"&amp;MONTH(B195)</f>
        <v>2023/5</v>
      </c>
      <c r="E195" s="3" t="s">
        <v>1</v>
      </c>
      <c r="F195" s="2" t="s">
        <v>7</v>
      </c>
    </row>
    <row r="196" spans="1:6" x14ac:dyDescent="0.35">
      <c r="A196" s="4">
        <f>IF(B196&lt;&gt;"",ROW()-15,"")</f>
        <v>181</v>
      </c>
      <c r="B196" s="5">
        <v>45074</v>
      </c>
      <c r="C196" s="3">
        <f>YEAR(B196)</f>
        <v>2023</v>
      </c>
      <c r="D196" s="3" t="str">
        <f>YEAR(B196)&amp;"/"&amp;MONTH(B196)</f>
        <v>2023/5</v>
      </c>
      <c r="E196" s="3" t="s">
        <v>1</v>
      </c>
      <c r="F196" s="2" t="s">
        <v>2</v>
      </c>
    </row>
    <row r="197" spans="1:6" x14ac:dyDescent="0.35">
      <c r="A197" s="4">
        <f>IF(B197&lt;&gt;"",ROW()-15,"")</f>
        <v>182</v>
      </c>
      <c r="B197" s="5">
        <v>45088</v>
      </c>
      <c r="C197" s="3">
        <f>YEAR(B197)</f>
        <v>2023</v>
      </c>
      <c r="D197" s="3" t="str">
        <f>YEAR(B197)&amp;"/"&amp;MONTH(B197)</f>
        <v>2023/6</v>
      </c>
      <c r="E197" s="3" t="s">
        <v>1</v>
      </c>
      <c r="F197" s="2" t="s">
        <v>7</v>
      </c>
    </row>
    <row r="198" spans="1:6" x14ac:dyDescent="0.35">
      <c r="A198" s="4">
        <f>IF(B198&lt;&gt;"",ROW()-15,"")</f>
        <v>183</v>
      </c>
      <c r="B198" s="5">
        <v>45102</v>
      </c>
      <c r="C198" s="3">
        <f>YEAR(B198)</f>
        <v>2023</v>
      </c>
      <c r="D198" s="3" t="str">
        <f>YEAR(B198)&amp;"/"&amp;MONTH(B198)</f>
        <v>2023/6</v>
      </c>
      <c r="E198" s="3" t="s">
        <v>1</v>
      </c>
      <c r="F198" s="2" t="s">
        <v>7</v>
      </c>
    </row>
    <row r="199" spans="1:6" x14ac:dyDescent="0.35">
      <c r="A199" s="4">
        <f>IF(B199&lt;&gt;"",ROW()-15,"")</f>
        <v>184</v>
      </c>
      <c r="B199" s="5">
        <v>45116</v>
      </c>
      <c r="C199" s="3">
        <f>YEAR(B199)</f>
        <v>2023</v>
      </c>
      <c r="D199" s="3" t="str">
        <f>YEAR(B199)&amp;"/"&amp;MONTH(B199)</f>
        <v>2023/7</v>
      </c>
      <c r="E199" s="3" t="s">
        <v>1</v>
      </c>
      <c r="F199" s="2" t="s">
        <v>7</v>
      </c>
    </row>
    <row r="200" spans="1:6" x14ac:dyDescent="0.35">
      <c r="A200" s="4">
        <f>IF(B200&lt;&gt;"",ROW()-15,"")</f>
        <v>185</v>
      </c>
      <c r="B200" s="5">
        <v>45130</v>
      </c>
      <c r="C200" s="3">
        <f>YEAR(B200)</f>
        <v>2023</v>
      </c>
      <c r="D200" s="3" t="str">
        <f>YEAR(B200)&amp;"/"&amp;MONTH(B200)</f>
        <v>2023/7</v>
      </c>
      <c r="E200" s="3" t="s">
        <v>1</v>
      </c>
      <c r="F200" s="2" t="s">
        <v>7</v>
      </c>
    </row>
    <row r="201" spans="1:6" x14ac:dyDescent="0.35">
      <c r="A201" s="4">
        <f>IF(B201&lt;&gt;"",ROW()-15,"")</f>
        <v>186</v>
      </c>
      <c r="B201" s="5">
        <v>45186</v>
      </c>
      <c r="C201" s="3">
        <f>YEAR(B201)</f>
        <v>2023</v>
      </c>
      <c r="D201" s="3" t="str">
        <f>YEAR(B201)&amp;"/"&amp;MONTH(B201)</f>
        <v>2023/9</v>
      </c>
      <c r="E201" s="3" t="s">
        <v>1</v>
      </c>
      <c r="F201" s="2" t="s">
        <v>7</v>
      </c>
    </row>
    <row r="202" spans="1:6" x14ac:dyDescent="0.35">
      <c r="A202" s="4">
        <f>IF(B202&lt;&gt;"",ROW()-15,"")</f>
        <v>187</v>
      </c>
      <c r="B202" s="5">
        <v>45200</v>
      </c>
      <c r="C202" s="3">
        <f>YEAR(B202)</f>
        <v>2023</v>
      </c>
      <c r="D202" s="3" t="str">
        <f>YEAR(B202)&amp;"/"&amp;MONTH(B202)</f>
        <v>2023/10</v>
      </c>
      <c r="E202" s="3" t="s">
        <v>1</v>
      </c>
      <c r="F202" s="2" t="s">
        <v>7</v>
      </c>
    </row>
    <row r="203" spans="1:6" x14ac:dyDescent="0.35">
      <c r="A203" s="4">
        <f>IF(B203&lt;&gt;"",ROW()-15,"")</f>
        <v>188</v>
      </c>
      <c r="B203" s="5">
        <v>45214</v>
      </c>
      <c r="C203" s="3">
        <f>YEAR(B203)</f>
        <v>2023</v>
      </c>
      <c r="D203" s="3" t="str">
        <f>YEAR(B203)&amp;"/"&amp;MONTH(B203)</f>
        <v>2023/10</v>
      </c>
      <c r="E203" s="3" t="s">
        <v>1</v>
      </c>
      <c r="F203" s="2" t="s">
        <v>7</v>
      </c>
    </row>
    <row r="204" spans="1:6" x14ac:dyDescent="0.35">
      <c r="A204" s="4">
        <f>IF(B204&lt;&gt;"",ROW()-15,"")</f>
        <v>189</v>
      </c>
      <c r="B204" s="5">
        <v>45228</v>
      </c>
      <c r="C204" s="3">
        <f>YEAR(B204)</f>
        <v>2023</v>
      </c>
      <c r="D204" s="3" t="str">
        <f>YEAR(B204)&amp;"/"&amp;MONTH(B204)</f>
        <v>2023/10</v>
      </c>
      <c r="E204" s="3" t="s">
        <v>1</v>
      </c>
      <c r="F204" s="2" t="s">
        <v>2</v>
      </c>
    </row>
    <row r="205" spans="1:6" x14ac:dyDescent="0.35">
      <c r="A205" s="4">
        <f>IF(B205&lt;&gt;"",ROW()-15,"")</f>
        <v>190</v>
      </c>
      <c r="B205" s="5">
        <v>45242</v>
      </c>
      <c r="C205" s="3">
        <f>YEAR(B205)</f>
        <v>2023</v>
      </c>
      <c r="D205" s="3" t="str">
        <f>YEAR(B205)&amp;"/"&amp;MONTH(B205)</f>
        <v>2023/11</v>
      </c>
      <c r="E205" s="3" t="s">
        <v>1</v>
      </c>
      <c r="F205" s="2" t="s">
        <v>7</v>
      </c>
    </row>
    <row r="206" spans="1:6" x14ac:dyDescent="0.35">
      <c r="A206" s="4">
        <f>IF(B206&lt;&gt;"",ROW()-15,"")</f>
        <v>191</v>
      </c>
      <c r="B206" s="5">
        <v>45256</v>
      </c>
      <c r="C206" s="3">
        <f>YEAR(B206)</f>
        <v>2023</v>
      </c>
      <c r="D206" s="3" t="str">
        <f>YEAR(B206)&amp;"/"&amp;MONTH(B206)</f>
        <v>2023/11</v>
      </c>
      <c r="E206" s="3" t="s">
        <v>1</v>
      </c>
      <c r="F206" s="2" t="s">
        <v>7</v>
      </c>
    </row>
    <row r="207" spans="1:6" x14ac:dyDescent="0.35">
      <c r="A207" s="4">
        <f>IF(B207&lt;&gt;"",ROW()-15,"")</f>
        <v>192</v>
      </c>
      <c r="B207" s="5">
        <v>45270</v>
      </c>
      <c r="C207" s="3">
        <f>YEAR(B207)</f>
        <v>2023</v>
      </c>
      <c r="D207" s="3" t="str">
        <f>YEAR(B207)&amp;"/"&amp;MONTH(B207)</f>
        <v>2023/12</v>
      </c>
      <c r="E207" s="3" t="s">
        <v>1</v>
      </c>
      <c r="F207" s="2" t="s">
        <v>7</v>
      </c>
    </row>
    <row r="208" spans="1:6" x14ac:dyDescent="0.35">
      <c r="A208" s="4">
        <f>IF(B208&lt;&gt;"",ROW()-15,"")</f>
        <v>193</v>
      </c>
      <c r="B208" s="5">
        <v>45284</v>
      </c>
      <c r="C208" s="3">
        <f>YEAR(B208)</f>
        <v>2023</v>
      </c>
      <c r="D208" s="3" t="str">
        <f>YEAR(B208)&amp;"/"&amp;MONTH(B208)</f>
        <v>2023/12</v>
      </c>
      <c r="E208" s="3" t="s">
        <v>1</v>
      </c>
      <c r="F208" s="2" t="s">
        <v>7</v>
      </c>
    </row>
    <row r="209" spans="1:37" x14ac:dyDescent="0.35">
      <c r="A209" s="4">
        <f>IF(B209&lt;&gt;"",ROW()-15,"")</f>
        <v>194</v>
      </c>
      <c r="B209" s="5">
        <v>45298</v>
      </c>
      <c r="C209" s="3">
        <f>YEAR(B209)</f>
        <v>2024</v>
      </c>
      <c r="D209" s="3" t="str">
        <f>YEAR(B209)&amp;"/"&amp;MONTH(B209)</f>
        <v>2024/1</v>
      </c>
      <c r="E209" s="3" t="s">
        <v>1</v>
      </c>
      <c r="F209" s="2" t="s">
        <v>7</v>
      </c>
    </row>
    <row r="210" spans="1:37" x14ac:dyDescent="0.35">
      <c r="A210" s="4">
        <f>IF(B210&lt;&gt;"",ROW()-15,"")</f>
        <v>195</v>
      </c>
      <c r="B210" s="5">
        <v>45312</v>
      </c>
      <c r="C210" s="3">
        <f>YEAR(B210)</f>
        <v>2024</v>
      </c>
      <c r="D210" s="3" t="str">
        <f>YEAR(B210)&amp;"/"&amp;MONTH(B210)</f>
        <v>2024/1</v>
      </c>
      <c r="E210" s="3" t="s">
        <v>1</v>
      </c>
      <c r="F210" s="2" t="s">
        <v>7</v>
      </c>
    </row>
    <row r="211" spans="1:37" x14ac:dyDescent="0.35">
      <c r="A211" s="4">
        <f>IF(B211&lt;&gt;"",ROW()-15,"")</f>
        <v>196</v>
      </c>
      <c r="B211" s="5">
        <v>45326</v>
      </c>
      <c r="C211" s="3">
        <f>YEAR(B211)</f>
        <v>2024</v>
      </c>
      <c r="D211" s="3" t="str">
        <f>YEAR(B211)&amp;"/"&amp;MONTH(B211)</f>
        <v>2024/2</v>
      </c>
      <c r="E211" s="3" t="s">
        <v>1</v>
      </c>
      <c r="F211" s="2" t="s">
        <v>2</v>
      </c>
    </row>
    <row r="212" spans="1:37" x14ac:dyDescent="0.35">
      <c r="A212" s="4">
        <f>IF(B212&lt;&gt;"",ROW()-15,"")</f>
        <v>197</v>
      </c>
      <c r="B212" s="5">
        <v>45340</v>
      </c>
      <c r="C212" s="3">
        <f>YEAR(B212)</f>
        <v>2024</v>
      </c>
      <c r="D212" s="3" t="str">
        <f>YEAR(B212)&amp;"/"&amp;MONTH(B212)</f>
        <v>2024/2</v>
      </c>
      <c r="E212" s="3" t="s">
        <v>1</v>
      </c>
      <c r="F212" s="2" t="s">
        <v>7</v>
      </c>
    </row>
    <row r="213" spans="1:37" x14ac:dyDescent="0.35">
      <c r="A213" s="4">
        <f>IF(B213&lt;&gt;"",ROW()-15,"")</f>
        <v>198</v>
      </c>
      <c r="B213" s="5">
        <v>45354</v>
      </c>
      <c r="C213" s="3">
        <f>YEAR(B213)</f>
        <v>2024</v>
      </c>
      <c r="D213" s="3" t="str">
        <f>YEAR(B213)&amp;"/"&amp;MONTH(B213)</f>
        <v>2024/3</v>
      </c>
      <c r="E213" s="3" t="s">
        <v>1</v>
      </c>
      <c r="F213" s="2" t="s">
        <v>7</v>
      </c>
    </row>
    <row r="214" spans="1:37" x14ac:dyDescent="0.35">
      <c r="A214" s="4">
        <f>IF(B214&lt;&gt;"",ROW()-15,"")</f>
        <v>199</v>
      </c>
      <c r="B214" s="5">
        <v>45368</v>
      </c>
      <c r="C214" s="3">
        <f>YEAR(B214)</f>
        <v>2024</v>
      </c>
      <c r="D214" s="3" t="str">
        <f>YEAR(B214)&amp;"/"&amp;MONTH(B214)</f>
        <v>2024/3</v>
      </c>
      <c r="E214" s="3" t="s">
        <v>1</v>
      </c>
      <c r="F214" s="2" t="s">
        <v>7</v>
      </c>
    </row>
    <row r="215" spans="1:37" x14ac:dyDescent="0.35">
      <c r="A215" s="4">
        <f>IF(B215&lt;&gt;"",ROW()-15,"")</f>
        <v>200</v>
      </c>
      <c r="B215" s="5">
        <v>45382</v>
      </c>
      <c r="C215" s="3">
        <f>YEAR(B215)</f>
        <v>2024</v>
      </c>
      <c r="D215" s="3" t="str">
        <f>YEAR(B215)&amp;"/"&amp;MONTH(B215)</f>
        <v>2024/3</v>
      </c>
      <c r="E215" s="3" t="s">
        <v>1</v>
      </c>
      <c r="F215" s="2" t="s">
        <v>2</v>
      </c>
    </row>
    <row r="216" spans="1:37" x14ac:dyDescent="0.35">
      <c r="A216" s="4">
        <f>IF(B216&lt;&gt;"",ROW()-15,"")</f>
        <v>201</v>
      </c>
      <c r="B216" s="5">
        <v>45396</v>
      </c>
      <c r="C216" s="3">
        <f>YEAR(B216)</f>
        <v>2024</v>
      </c>
      <c r="D216" s="3" t="str">
        <f>YEAR(B216)&amp;"/"&amp;MONTH(B216)</f>
        <v>2024/4</v>
      </c>
      <c r="E216" s="3" t="s">
        <v>1</v>
      </c>
      <c r="F216" s="2" t="s">
        <v>2</v>
      </c>
    </row>
    <row r="217" spans="1:37" x14ac:dyDescent="0.35">
      <c r="A217" s="4">
        <f>IF(B217&lt;&gt;"",ROW()-15,"")</f>
        <v>202</v>
      </c>
      <c r="B217" s="5">
        <v>45410</v>
      </c>
      <c r="C217" s="3">
        <f>YEAR(B217)</f>
        <v>2024</v>
      </c>
      <c r="D217" s="3" t="str">
        <f>YEAR(B217)&amp;"/"&amp;MONTH(B217)</f>
        <v>2024/4</v>
      </c>
      <c r="E217" s="3" t="s">
        <v>1</v>
      </c>
      <c r="F217" s="2" t="s">
        <v>6</v>
      </c>
      <c r="AK217" s="6"/>
    </row>
    <row r="218" spans="1:37" x14ac:dyDescent="0.35">
      <c r="A218" s="4">
        <f>IF(B218&lt;&gt;"",ROW()-15,"")</f>
        <v>203</v>
      </c>
      <c r="B218" s="5">
        <v>45424</v>
      </c>
      <c r="C218" s="3">
        <f>YEAR(B218)</f>
        <v>2024</v>
      </c>
      <c r="D218" s="3" t="str">
        <f>YEAR(B218)&amp;"/"&amp;MONTH(B218)</f>
        <v>2024/5</v>
      </c>
      <c r="E218" s="3" t="s">
        <v>1</v>
      </c>
      <c r="F218" s="2" t="s">
        <v>0</v>
      </c>
      <c r="AK218" s="6"/>
    </row>
    <row r="219" spans="1:37" x14ac:dyDescent="0.35">
      <c r="A219" s="4">
        <f>IF(B219&lt;&gt;"",ROW()-15,"")</f>
        <v>204</v>
      </c>
      <c r="B219" s="5">
        <v>45438</v>
      </c>
      <c r="C219" s="3">
        <f>YEAR(B219)</f>
        <v>2024</v>
      </c>
      <c r="D219" s="3" t="str">
        <f>YEAR(B219)&amp;"/"&amp;MONTH(B219)</f>
        <v>2024/5</v>
      </c>
      <c r="E219" s="3" t="s">
        <v>1</v>
      </c>
      <c r="F219" s="2" t="s">
        <v>0</v>
      </c>
      <c r="AK219" s="6"/>
    </row>
    <row r="220" spans="1:37" x14ac:dyDescent="0.35">
      <c r="A220" s="4">
        <f>IF(B220&lt;&gt;"",ROW()-15,"")</f>
        <v>205</v>
      </c>
      <c r="B220" s="5">
        <v>45452</v>
      </c>
      <c r="C220" s="3">
        <f>YEAR(B220)</f>
        <v>2024</v>
      </c>
      <c r="D220" s="3" t="str">
        <f>YEAR(B220)&amp;"/"&amp;MONTH(B220)</f>
        <v>2024/6</v>
      </c>
      <c r="E220" s="3" t="s">
        <v>1</v>
      </c>
      <c r="F220" s="2" t="s">
        <v>0</v>
      </c>
      <c r="AK220" s="6"/>
    </row>
    <row r="221" spans="1:37" x14ac:dyDescent="0.35">
      <c r="A221" s="4">
        <f>IF(B221&lt;&gt;"",ROW()-15,"")</f>
        <v>206</v>
      </c>
      <c r="B221" s="5">
        <v>45466</v>
      </c>
      <c r="C221" s="3">
        <f>YEAR(B221)</f>
        <v>2024</v>
      </c>
      <c r="D221" s="3" t="str">
        <f>YEAR(B221)&amp;"/"&amp;MONTH(B221)</f>
        <v>2024/6</v>
      </c>
      <c r="E221" s="3" t="s">
        <v>1</v>
      </c>
      <c r="F221" s="2" t="s">
        <v>0</v>
      </c>
      <c r="AK221" s="6"/>
    </row>
    <row r="222" spans="1:37" x14ac:dyDescent="0.35">
      <c r="A222" s="4">
        <f>IF(B222&lt;&gt;"",ROW()-15,"")</f>
        <v>207</v>
      </c>
      <c r="B222" s="5">
        <v>45480</v>
      </c>
      <c r="C222" s="3">
        <f>YEAR(B222)</f>
        <v>2024</v>
      </c>
      <c r="D222" s="3" t="str">
        <f>YEAR(B222)&amp;"/"&amp;MONTH(B222)</f>
        <v>2024/7</v>
      </c>
      <c r="E222" s="3" t="s">
        <v>1</v>
      </c>
      <c r="F222" s="2" t="s">
        <v>0</v>
      </c>
    </row>
    <row r="223" spans="1:37" x14ac:dyDescent="0.35">
      <c r="A223" s="4">
        <f>IF(B223&lt;&gt;"",ROW()-15,"")</f>
        <v>208</v>
      </c>
      <c r="B223" s="5">
        <v>45494</v>
      </c>
      <c r="C223" s="3">
        <f>YEAR(B223)</f>
        <v>2024</v>
      </c>
      <c r="D223" s="3" t="str">
        <f>YEAR(B223)&amp;"/"&amp;MONTH(B223)</f>
        <v>2024/7</v>
      </c>
      <c r="E223" s="3" t="s">
        <v>1</v>
      </c>
      <c r="F223" s="2" t="s">
        <v>0</v>
      </c>
    </row>
    <row r="224" spans="1:37" x14ac:dyDescent="0.35">
      <c r="A224" s="4">
        <f>IF(B224&lt;&gt;"",ROW()-15,"")</f>
        <v>209</v>
      </c>
      <c r="B224" s="5">
        <v>45508</v>
      </c>
      <c r="C224" s="3">
        <f>YEAR(B224)</f>
        <v>2024</v>
      </c>
      <c r="D224" s="3" t="str">
        <f>YEAR(B224)&amp;"/"&amp;MONTH(B224)</f>
        <v>2024/8</v>
      </c>
      <c r="E224" s="3" t="s">
        <v>1</v>
      </c>
      <c r="F224" s="2" t="s">
        <v>0</v>
      </c>
      <c r="AK224" s="6"/>
    </row>
    <row r="225" spans="1:37" x14ac:dyDescent="0.35">
      <c r="A225" s="4">
        <f>IF(B225&lt;&gt;"",ROW()-15,"")</f>
        <v>210</v>
      </c>
      <c r="B225" s="5">
        <v>45550</v>
      </c>
      <c r="C225" s="3">
        <f>YEAR(B225)</f>
        <v>2024</v>
      </c>
      <c r="D225" s="3" t="str">
        <f>YEAR(B225)&amp;"/"&amp;MONTH(B225)</f>
        <v>2024/9</v>
      </c>
      <c r="E225" s="3" t="s">
        <v>1</v>
      </c>
      <c r="F225" s="2" t="s">
        <v>0</v>
      </c>
      <c r="AK225" s="6"/>
    </row>
    <row r="226" spans="1:37" x14ac:dyDescent="0.35">
      <c r="A226" s="4">
        <f>IF(B226&lt;&gt;"",ROW()-15,"")</f>
        <v>211</v>
      </c>
      <c r="B226" s="5">
        <v>45564</v>
      </c>
      <c r="C226" s="3">
        <f>YEAR(B226)</f>
        <v>2024</v>
      </c>
      <c r="D226" s="3" t="str">
        <f>YEAR(B226)&amp;"/"&amp;MONTH(B226)</f>
        <v>2024/9</v>
      </c>
      <c r="E226" s="3" t="s">
        <v>1</v>
      </c>
      <c r="F226" s="2" t="s">
        <v>5</v>
      </c>
      <c r="AK226" s="6"/>
    </row>
    <row r="227" spans="1:37" x14ac:dyDescent="0.35">
      <c r="A227" s="4">
        <f>IF(B227&lt;&gt;"",ROW()-15,"")</f>
        <v>212</v>
      </c>
      <c r="B227" s="5">
        <v>45578</v>
      </c>
      <c r="C227" s="3">
        <f>YEAR(B227)</f>
        <v>2024</v>
      </c>
      <c r="D227" s="3" t="str">
        <f>YEAR(B227)&amp;"/"&amp;MONTH(B227)</f>
        <v>2024/10</v>
      </c>
      <c r="E227" s="3" t="s">
        <v>1</v>
      </c>
      <c r="F227" s="2" t="s">
        <v>0</v>
      </c>
      <c r="AK227" s="6"/>
    </row>
    <row r="228" spans="1:37" x14ac:dyDescent="0.35">
      <c r="A228" s="4">
        <f>IF(B228&lt;&gt;"",ROW()-15,"")</f>
        <v>213</v>
      </c>
      <c r="B228" s="5">
        <v>45592</v>
      </c>
      <c r="C228" s="3">
        <f>YEAR(B228)</f>
        <v>2024</v>
      </c>
      <c r="D228" s="3" t="str">
        <f>YEAR(B228)&amp;"/"&amp;MONTH(B228)</f>
        <v>2024/10</v>
      </c>
      <c r="E228" s="3" t="s">
        <v>1</v>
      </c>
      <c r="F228" s="2" t="s">
        <v>0</v>
      </c>
    </row>
    <row r="229" spans="1:37" x14ac:dyDescent="0.35">
      <c r="A229" s="4">
        <f>IF(B229&lt;&gt;"",ROW()-15,"")</f>
        <v>214</v>
      </c>
      <c r="B229" s="5">
        <v>45606</v>
      </c>
      <c r="C229" s="3">
        <f>YEAR(B229)</f>
        <v>2024</v>
      </c>
      <c r="D229" s="3" t="str">
        <f>YEAR(B229)&amp;"/"&amp;MONTH(B229)</f>
        <v>2024/11</v>
      </c>
      <c r="E229" s="3" t="s">
        <v>1</v>
      </c>
      <c r="F229" s="2" t="s">
        <v>0</v>
      </c>
    </row>
    <row r="230" spans="1:37" x14ac:dyDescent="0.35">
      <c r="A230" s="4">
        <f>IF(B230&lt;&gt;"",ROW()-15,"")</f>
        <v>215</v>
      </c>
      <c r="B230" s="5">
        <v>45620</v>
      </c>
      <c r="C230" s="3">
        <f>YEAR(B230)</f>
        <v>2024</v>
      </c>
      <c r="D230" s="3" t="str">
        <f>YEAR(B230)&amp;"/"&amp;MONTH(B230)</f>
        <v>2024/11</v>
      </c>
      <c r="E230" s="3" t="s">
        <v>1</v>
      </c>
      <c r="F230" s="2" t="s">
        <v>0</v>
      </c>
    </row>
    <row r="231" spans="1:37" x14ac:dyDescent="0.35">
      <c r="A231" s="4">
        <f>IF(B231&lt;&gt;"",ROW()-15,"")</f>
        <v>216</v>
      </c>
      <c r="B231" s="5">
        <v>45634</v>
      </c>
      <c r="C231" s="3">
        <f>YEAR(B231)</f>
        <v>2024</v>
      </c>
      <c r="D231" s="3" t="str">
        <f>YEAR(B231)&amp;"/"&amp;MONTH(B231)</f>
        <v>2024/12</v>
      </c>
      <c r="E231" s="3" t="s">
        <v>1</v>
      </c>
      <c r="F231" s="2" t="s">
        <v>0</v>
      </c>
    </row>
    <row r="232" spans="1:37" x14ac:dyDescent="0.35">
      <c r="A232" s="4">
        <f>IF(B232&lt;&gt;"",ROW()-15,"")</f>
        <v>217</v>
      </c>
      <c r="B232" s="5">
        <v>45648</v>
      </c>
      <c r="C232" s="3">
        <f>YEAR(B232)</f>
        <v>2024</v>
      </c>
      <c r="D232" s="3" t="str">
        <f>YEAR(B232)&amp;"/"&amp;MONTH(B232)</f>
        <v>2024/12</v>
      </c>
      <c r="E232" s="3" t="s">
        <v>1</v>
      </c>
      <c r="F232" s="2" t="s">
        <v>0</v>
      </c>
    </row>
    <row r="233" spans="1:37" x14ac:dyDescent="0.35">
      <c r="A233" s="4">
        <f>IF(B233&lt;&gt;"",ROW()-15,"")</f>
        <v>218</v>
      </c>
      <c r="B233" s="5">
        <v>45662</v>
      </c>
      <c r="C233" s="3">
        <f>YEAR(B233)</f>
        <v>2025</v>
      </c>
      <c r="D233" s="3" t="str">
        <f>YEAR(B233)&amp;"/"&amp;MONTH(B233)</f>
        <v>2025/1</v>
      </c>
      <c r="E233" s="3" t="s">
        <v>1</v>
      </c>
      <c r="F233" s="2" t="s">
        <v>0</v>
      </c>
    </row>
    <row r="234" spans="1:37" x14ac:dyDescent="0.35">
      <c r="A234" s="4">
        <f>IF(B234&lt;&gt;"",ROW()-15,"")</f>
        <v>219</v>
      </c>
      <c r="B234" s="5">
        <v>45676</v>
      </c>
      <c r="C234" s="3">
        <f>YEAR(B234)</f>
        <v>2025</v>
      </c>
      <c r="D234" s="3" t="str">
        <f>YEAR(B234)&amp;"/"&amp;MONTH(B234)</f>
        <v>2025/1</v>
      </c>
      <c r="E234" s="3" t="s">
        <v>1</v>
      </c>
      <c r="F234" s="2" t="s">
        <v>2</v>
      </c>
    </row>
    <row r="235" spans="1:37" x14ac:dyDescent="0.35">
      <c r="A235" s="4">
        <f>IF(B235&lt;&gt;"",ROW()-15,"")</f>
        <v>220</v>
      </c>
      <c r="B235" s="5">
        <v>45690</v>
      </c>
      <c r="C235" s="3">
        <f>YEAR(B235)</f>
        <v>2025</v>
      </c>
      <c r="D235" s="3" t="str">
        <f>YEAR(B235)&amp;"/"&amp;MONTH(B235)</f>
        <v>2025/2</v>
      </c>
      <c r="E235" s="3" t="s">
        <v>1</v>
      </c>
      <c r="F235" s="2" t="s">
        <v>0</v>
      </c>
    </row>
    <row r="236" spans="1:37" x14ac:dyDescent="0.35">
      <c r="A236" s="4">
        <f>IF(B236&lt;&gt;"",ROW()-15,"")</f>
        <v>221</v>
      </c>
      <c r="B236" s="5">
        <v>45704</v>
      </c>
      <c r="C236" s="3">
        <f>YEAR(B236)</f>
        <v>2025</v>
      </c>
      <c r="D236" s="3" t="str">
        <f>YEAR(B236)&amp;"/"&amp;MONTH(B236)</f>
        <v>2025/2</v>
      </c>
      <c r="E236" s="3" t="s">
        <v>1</v>
      </c>
      <c r="F236" s="2" t="s">
        <v>0</v>
      </c>
    </row>
    <row r="237" spans="1:37" x14ac:dyDescent="0.35">
      <c r="A237" s="4">
        <f>IF(B237&lt;&gt;"",ROW()-15,"")</f>
        <v>222</v>
      </c>
      <c r="B237" s="5">
        <v>45718</v>
      </c>
      <c r="C237" s="3">
        <f>YEAR(B237)</f>
        <v>2025</v>
      </c>
      <c r="D237" s="3" t="str">
        <f>YEAR(B237)&amp;"/"&amp;MONTH(B237)</f>
        <v>2025/3</v>
      </c>
      <c r="E237" s="3" t="s">
        <v>1</v>
      </c>
      <c r="F237" s="2" t="s">
        <v>0</v>
      </c>
    </row>
    <row r="238" spans="1:37" x14ac:dyDescent="0.35">
      <c r="A238" s="4">
        <f>IF(B238&lt;&gt;"",ROW()-15,"")</f>
        <v>223</v>
      </c>
      <c r="B238" s="5">
        <v>45732</v>
      </c>
      <c r="C238" s="3">
        <f>YEAR(B238)</f>
        <v>2025</v>
      </c>
      <c r="D238" s="3" t="str">
        <f>YEAR(B238)&amp;"/"&amp;MONTH(B238)</f>
        <v>2025/3</v>
      </c>
      <c r="E238" s="3" t="s">
        <v>1</v>
      </c>
      <c r="F238" s="2" t="s">
        <v>0</v>
      </c>
    </row>
    <row r="239" spans="1:37" x14ac:dyDescent="0.35">
      <c r="A239" s="4">
        <f>IF(B239&lt;&gt;"",ROW()-15,"")</f>
        <v>224</v>
      </c>
      <c r="B239" s="5">
        <v>45746</v>
      </c>
      <c r="C239" s="3">
        <f>YEAR(B239)</f>
        <v>2025</v>
      </c>
      <c r="D239" s="3" t="str">
        <f>YEAR(B239)&amp;"/"&amp;MONTH(B239)</f>
        <v>2025/3</v>
      </c>
      <c r="E239" s="3" t="s">
        <v>1</v>
      </c>
      <c r="F239" s="2" t="s">
        <v>0</v>
      </c>
    </row>
    <row r="240" spans="1:37" x14ac:dyDescent="0.35">
      <c r="A240" s="4">
        <f>IF(B240&lt;&gt;"",ROW()-15,"")</f>
        <v>225</v>
      </c>
      <c r="B240" s="5">
        <v>45760</v>
      </c>
      <c r="C240" s="3">
        <f>YEAR(B240)</f>
        <v>2025</v>
      </c>
      <c r="D240" s="3" t="str">
        <f>YEAR(B240)&amp;"/"&amp;MONTH(B240)</f>
        <v>2025/4</v>
      </c>
      <c r="E240" s="3" t="s">
        <v>1</v>
      </c>
      <c r="F240" s="2" t="s">
        <v>0</v>
      </c>
    </row>
    <row r="241" spans="1:6" x14ac:dyDescent="0.35">
      <c r="A241" s="4">
        <f>IF(B241&lt;&gt;"",ROW()-15,"")</f>
        <v>226</v>
      </c>
      <c r="B241" s="5">
        <v>45774</v>
      </c>
      <c r="C241" s="3">
        <f>YEAR(B241)</f>
        <v>2025</v>
      </c>
      <c r="D241" s="3" t="str">
        <f>YEAR(B241)&amp;"/"&amp;MONTH(B241)</f>
        <v>2025/4</v>
      </c>
      <c r="E241" s="3" t="s">
        <v>1</v>
      </c>
      <c r="F241" s="2" t="s">
        <v>4</v>
      </c>
    </row>
    <row r="242" spans="1:6" x14ac:dyDescent="0.35">
      <c r="A242" s="4">
        <f>IF(B242&lt;&gt;"",ROW()-15,"")</f>
        <v>227</v>
      </c>
      <c r="B242" s="5">
        <v>45788</v>
      </c>
      <c r="C242" s="3">
        <f>YEAR(B242)</f>
        <v>2025</v>
      </c>
      <c r="D242" s="3" t="str">
        <f>YEAR(B242)&amp;"/"&amp;MONTH(B242)</f>
        <v>2025/5</v>
      </c>
      <c r="E242" s="3" t="s">
        <v>1</v>
      </c>
      <c r="F242" s="2" t="s">
        <v>0</v>
      </c>
    </row>
    <row r="243" spans="1:6" x14ac:dyDescent="0.35">
      <c r="A243" s="4">
        <f>IF(B243&lt;&gt;"",ROW()-15,"")</f>
        <v>228</v>
      </c>
      <c r="B243" s="5">
        <v>45802</v>
      </c>
      <c r="C243" s="3">
        <f>YEAR(B243)</f>
        <v>2025</v>
      </c>
      <c r="D243" s="3" t="str">
        <f>YEAR(B243)&amp;"/"&amp;MONTH(B243)</f>
        <v>2025/5</v>
      </c>
      <c r="E243" s="3" t="s">
        <v>1</v>
      </c>
      <c r="F243" s="2" t="s">
        <v>0</v>
      </c>
    </row>
    <row r="244" spans="1:6" x14ac:dyDescent="0.35">
      <c r="A244" s="4">
        <f>IF(B244&lt;&gt;"",ROW()-15,"")</f>
        <v>229</v>
      </c>
      <c r="B244" s="5">
        <v>45816</v>
      </c>
      <c r="C244" s="3">
        <f>YEAR(B244)</f>
        <v>2025</v>
      </c>
      <c r="D244" s="3" t="str">
        <f>YEAR(B244)&amp;"/"&amp;MONTH(B244)</f>
        <v>2025/6</v>
      </c>
      <c r="E244" s="3" t="s">
        <v>1</v>
      </c>
      <c r="F244" s="2" t="s">
        <v>2</v>
      </c>
    </row>
    <row r="245" spans="1:6" x14ac:dyDescent="0.35">
      <c r="A245" s="4">
        <f>IF(B245&lt;&gt;"",ROW()-15,"")</f>
        <v>230</v>
      </c>
      <c r="B245" s="5">
        <v>45830</v>
      </c>
      <c r="C245" s="3">
        <f>YEAR(B245)</f>
        <v>2025</v>
      </c>
      <c r="D245" s="3" t="str">
        <f>YEAR(B245)&amp;"/"&amp;MONTH(B245)</f>
        <v>2025/6</v>
      </c>
      <c r="E245" s="3" t="s">
        <v>1</v>
      </c>
      <c r="F245" s="2" t="s">
        <v>2</v>
      </c>
    </row>
    <row r="246" spans="1:6" x14ac:dyDescent="0.35">
      <c r="A246" s="4">
        <f>IF(B246&lt;&gt;"",ROW()-15,"")</f>
        <v>231</v>
      </c>
      <c r="B246" s="5">
        <v>45844</v>
      </c>
      <c r="C246" s="3">
        <f>YEAR(B246)</f>
        <v>2025</v>
      </c>
      <c r="D246" s="3" t="str">
        <f>YEAR(B246)&amp;"/"&amp;MONTH(B246)</f>
        <v>2025/7</v>
      </c>
      <c r="E246" s="3" t="s">
        <v>1</v>
      </c>
      <c r="F246" s="2" t="s">
        <v>0</v>
      </c>
    </row>
    <row r="247" spans="1:6" x14ac:dyDescent="0.35">
      <c r="A247" s="4">
        <f>IF(B247&lt;&gt;"",ROW()-15,"")</f>
        <v>232</v>
      </c>
      <c r="B247" s="5">
        <v>45858</v>
      </c>
      <c r="C247" s="3">
        <f>YEAR(B247)</f>
        <v>2025</v>
      </c>
      <c r="D247" s="3" t="str">
        <f>YEAR(B247)&amp;"/"&amp;MONTH(B247)</f>
        <v>2025/7</v>
      </c>
      <c r="E247" s="3" t="s">
        <v>1</v>
      </c>
      <c r="F247" s="2" t="s">
        <v>0</v>
      </c>
    </row>
    <row r="248" spans="1:6" x14ac:dyDescent="0.35">
      <c r="A248" s="4">
        <f>IF(B248&lt;&gt;"",ROW()-15,"")</f>
        <v>233</v>
      </c>
      <c r="B248" s="5">
        <v>45872</v>
      </c>
      <c r="C248" s="3">
        <f>YEAR(B248)</f>
        <v>2025</v>
      </c>
      <c r="D248" s="3" t="str">
        <f>YEAR(B248)&amp;"/"&amp;MONTH(B248)</f>
        <v>2025/8</v>
      </c>
      <c r="E248" s="3" t="s">
        <v>1</v>
      </c>
      <c r="F248" s="2" t="s">
        <v>0</v>
      </c>
    </row>
    <row r="249" spans="1:6" x14ac:dyDescent="0.35">
      <c r="A249" s="4">
        <f>IF(B249&lt;&gt;"",ROW()-15,"")</f>
        <v>234</v>
      </c>
      <c r="B249" s="5">
        <v>45914</v>
      </c>
      <c r="C249" s="3">
        <f>YEAR(B249)</f>
        <v>2025</v>
      </c>
      <c r="D249" s="3" t="str">
        <f>YEAR(B249)&amp;"/"&amp;MONTH(B249)</f>
        <v>2025/9</v>
      </c>
      <c r="E249" s="3" t="s">
        <v>1</v>
      </c>
      <c r="F249" s="2" t="s">
        <v>0</v>
      </c>
    </row>
    <row r="250" spans="1:6" x14ac:dyDescent="0.35">
      <c r="A250" s="4">
        <f>IF(B250&lt;&gt;"",ROW()-15,"")</f>
        <v>235</v>
      </c>
      <c r="B250" s="5">
        <v>45928</v>
      </c>
      <c r="C250" s="3">
        <f>YEAR(B250)</f>
        <v>2025</v>
      </c>
      <c r="D250" s="3" t="str">
        <f>YEAR(B250)&amp;"/"&amp;MONTH(B250)</f>
        <v>2025/9</v>
      </c>
      <c r="E250" s="3" t="s">
        <v>1</v>
      </c>
      <c r="F250" s="2" t="s">
        <v>0</v>
      </c>
    </row>
    <row r="251" spans="1:6" x14ac:dyDescent="0.35">
      <c r="A251" s="4">
        <f>IF(B251&lt;&gt;"",ROW()-15,"")</f>
        <v>236</v>
      </c>
      <c r="B251" s="5">
        <v>45942</v>
      </c>
      <c r="C251" s="3">
        <f>YEAR(B251)</f>
        <v>2025</v>
      </c>
      <c r="D251" s="3" t="str">
        <f>YEAR(B251)&amp;"/"&amp;MONTH(B251)</f>
        <v>2025/10</v>
      </c>
      <c r="E251" s="3" t="s">
        <v>1</v>
      </c>
      <c r="F251" s="2" t="s">
        <v>0</v>
      </c>
    </row>
    <row r="252" spans="1:6" x14ac:dyDescent="0.35">
      <c r="A252" s="4">
        <f>IF(B252&lt;&gt;"",ROW()-15,"")</f>
        <v>237</v>
      </c>
      <c r="B252" s="5">
        <v>45956</v>
      </c>
      <c r="C252" s="3">
        <f>YEAR(B252)</f>
        <v>2025</v>
      </c>
      <c r="D252" s="3" t="str">
        <f>YEAR(B252)&amp;"/"&amp;MONTH(B252)</f>
        <v>2025/10</v>
      </c>
      <c r="E252" s="3" t="s">
        <v>1</v>
      </c>
      <c r="F252" s="2" t="s">
        <v>0</v>
      </c>
    </row>
    <row r="253" spans="1:6" x14ac:dyDescent="0.35">
      <c r="A253" s="4">
        <f>IF(B253&lt;&gt;"",ROW()-15,"")</f>
        <v>238</v>
      </c>
      <c r="B253" s="5">
        <v>45970</v>
      </c>
      <c r="C253" s="3">
        <f>YEAR(B253)</f>
        <v>2025</v>
      </c>
      <c r="D253" s="3" t="str">
        <f>YEAR(B253)&amp;"/"&amp;MONTH(B253)</f>
        <v>2025/11</v>
      </c>
      <c r="E253" s="3" t="s">
        <v>1</v>
      </c>
      <c r="F253" s="2" t="s">
        <v>0</v>
      </c>
    </row>
    <row r="254" spans="1:6" x14ac:dyDescent="0.35">
      <c r="A254" s="4">
        <f>IF(B254&lt;&gt;"",ROW()-15,"")</f>
        <v>239</v>
      </c>
      <c r="B254" s="5">
        <v>45984</v>
      </c>
      <c r="C254" s="3">
        <f>YEAR(B254)</f>
        <v>2025</v>
      </c>
      <c r="D254" s="3" t="str">
        <f>YEAR(B254)&amp;"/"&amp;MONTH(B254)</f>
        <v>2025/11</v>
      </c>
      <c r="E254" s="3" t="s">
        <v>1</v>
      </c>
      <c r="F254" s="2" t="s">
        <v>0</v>
      </c>
    </row>
    <row r="255" spans="1:6" x14ac:dyDescent="0.35">
      <c r="A255" s="4">
        <f>IF(B255&lt;&gt;"",ROW()-15,"")</f>
        <v>240</v>
      </c>
      <c r="B255" s="5">
        <v>46008</v>
      </c>
      <c r="C255" s="3">
        <f>YEAR(B255)</f>
        <v>2025</v>
      </c>
      <c r="D255" s="3" t="str">
        <f>YEAR(B255)&amp;"/"&amp;MONTH(B255)</f>
        <v>2025/12</v>
      </c>
      <c r="E255" s="3" t="s">
        <v>1</v>
      </c>
      <c r="F255" s="2" t="s">
        <v>2</v>
      </c>
    </row>
    <row r="256" spans="1:6" x14ac:dyDescent="0.35">
      <c r="A256" s="4">
        <f>IF(B256&lt;&gt;"",ROW()-15,"")</f>
        <v>241</v>
      </c>
      <c r="B256" s="5">
        <v>46012</v>
      </c>
      <c r="C256" s="3">
        <f>YEAR(B256)</f>
        <v>2025</v>
      </c>
      <c r="D256" s="3" t="str">
        <f>YEAR(B256)&amp;"/"&amp;MONTH(B256)</f>
        <v>2025/12</v>
      </c>
      <c r="E256" s="3" t="s">
        <v>1</v>
      </c>
      <c r="F256" s="2" t="s">
        <v>0</v>
      </c>
    </row>
    <row r="257" spans="1:6" x14ac:dyDescent="0.35">
      <c r="A257" s="4">
        <f>IF(B257&lt;&gt;"",ROW()-15,"")</f>
        <v>242</v>
      </c>
      <c r="B257" s="5">
        <v>46026</v>
      </c>
      <c r="C257" s="3">
        <f>YEAR(B257)</f>
        <v>2026</v>
      </c>
      <c r="D257" s="3" t="str">
        <f>YEAR(B257)&amp;"/"&amp;MONTH(B257)</f>
        <v>2026/1</v>
      </c>
      <c r="E257" s="3" t="s">
        <v>1</v>
      </c>
      <c r="F257" s="2" t="s">
        <v>0</v>
      </c>
    </row>
    <row r="258" spans="1:6" x14ac:dyDescent="0.35">
      <c r="A258" s="4">
        <f>IF(B258&lt;&gt;"",ROW()-15,"")</f>
        <v>243</v>
      </c>
      <c r="B258" s="5">
        <v>46045</v>
      </c>
      <c r="C258" s="3">
        <f>YEAR(B258)</f>
        <v>2026</v>
      </c>
      <c r="D258" s="3" t="str">
        <f>YEAR(B258)&amp;"/"&amp;MONTH(B258)</f>
        <v>2026/1</v>
      </c>
      <c r="E258" s="3" t="s">
        <v>1</v>
      </c>
      <c r="F258" s="2" t="s">
        <v>3</v>
      </c>
    </row>
    <row r="259" spans="1:6" x14ac:dyDescent="0.35">
      <c r="A259" s="4">
        <f>IF(B259&lt;&gt;"",ROW()-15,"")</f>
        <v>244</v>
      </c>
      <c r="B259" s="5">
        <v>46060</v>
      </c>
      <c r="C259" s="3">
        <f>YEAR(B259)</f>
        <v>2026</v>
      </c>
      <c r="D259" s="3" t="str">
        <f>YEAR(B259)&amp;"/"&amp;MONTH(B259)</f>
        <v>2026/2</v>
      </c>
      <c r="E259" s="3" t="s">
        <v>1</v>
      </c>
      <c r="F259" s="2" t="s">
        <v>0</v>
      </c>
    </row>
    <row r="260" spans="1:6" x14ac:dyDescent="0.35">
      <c r="A260" s="4">
        <f>IF(B260&lt;&gt;"",ROW()-15,"")</f>
        <v>245</v>
      </c>
      <c r="B260" s="5">
        <v>46075</v>
      </c>
      <c r="C260" s="3">
        <f>YEAR(B260)</f>
        <v>2026</v>
      </c>
      <c r="D260" s="3" t="str">
        <f>YEAR(B260)&amp;"/"&amp;MONTH(B260)</f>
        <v>2026/2</v>
      </c>
      <c r="E260" s="3" t="s">
        <v>1</v>
      </c>
      <c r="F260" s="2" t="s">
        <v>2</v>
      </c>
    </row>
    <row r="261" spans="1:6" x14ac:dyDescent="0.35">
      <c r="A261" s="4">
        <f>IF(B261&lt;&gt;"",ROW()-15,"")</f>
        <v>246</v>
      </c>
      <c r="B261" s="5">
        <v>46089</v>
      </c>
      <c r="C261" s="3">
        <f>YEAR(B261)</f>
        <v>2026</v>
      </c>
      <c r="D261" s="3" t="str">
        <f>YEAR(B261)&amp;"/"&amp;MONTH(B261)</f>
        <v>2026/3</v>
      </c>
      <c r="E261" s="3" t="s">
        <v>1</v>
      </c>
      <c r="F261" s="2" t="s">
        <v>0</v>
      </c>
    </row>
    <row r="262" spans="1:6" x14ac:dyDescent="0.35">
      <c r="A262" s="4">
        <f>IF(B262&lt;&gt;"",ROW()-15,"")</f>
        <v>247</v>
      </c>
      <c r="B262" s="5">
        <v>46109</v>
      </c>
      <c r="C262" s="3">
        <f>YEAR(B262)</f>
        <v>2026</v>
      </c>
      <c r="D262" s="3" t="str">
        <f>YEAR(B262)&amp;"/"&amp;MONTH(B262)</f>
        <v>2026/3</v>
      </c>
      <c r="E262" s="3" t="s">
        <v>1</v>
      </c>
      <c r="F262" s="2" t="s">
        <v>0</v>
      </c>
    </row>
    <row r="263" spans="1:6" x14ac:dyDescent="0.35">
      <c r="A263" s="4">
        <f>IF(B263&lt;&gt;"",ROW()-15,"")</f>
        <v>248</v>
      </c>
      <c r="B263" s="5">
        <v>46123</v>
      </c>
      <c r="C263" s="3">
        <f>YEAR(B263)</f>
        <v>2026</v>
      </c>
      <c r="D263" s="3" t="str">
        <f>YEAR(B263)&amp;"/"&amp;MONTH(B263)</f>
        <v>2026/4</v>
      </c>
      <c r="E263" s="3" t="s">
        <v>1</v>
      </c>
      <c r="F263" s="2" t="s">
        <v>0</v>
      </c>
    </row>
    <row r="264" spans="1:6" x14ac:dyDescent="0.35">
      <c r="A264" s="4">
        <f>IF(B264&lt;&gt;"",ROW()-15,"")</f>
        <v>249</v>
      </c>
      <c r="B264" s="5">
        <v>46137</v>
      </c>
      <c r="C264" s="3">
        <f>YEAR(B264)</f>
        <v>2026</v>
      </c>
      <c r="D264" s="3" t="str">
        <f>YEAR(B264)&amp;"/"&amp;MONTH(B264)</f>
        <v>2026/4</v>
      </c>
      <c r="E264" s="3" t="s">
        <v>1</v>
      </c>
      <c r="F264" s="2" t="s">
        <v>0</v>
      </c>
    </row>
    <row r="265" spans="1:6" x14ac:dyDescent="0.35">
      <c r="A265" s="4">
        <f>IF(B265&lt;&gt;"",ROW()-15,"")</f>
        <v>250</v>
      </c>
      <c r="B265" s="5">
        <v>46151</v>
      </c>
      <c r="C265" s="3">
        <f>YEAR(B265)</f>
        <v>2026</v>
      </c>
      <c r="D265" s="3" t="str">
        <f>YEAR(B265)&amp;"/"&amp;MONTH(B265)</f>
        <v>2026/5</v>
      </c>
      <c r="E265" s="3" t="s">
        <v>1</v>
      </c>
      <c r="F265" s="2" t="s">
        <v>0</v>
      </c>
    </row>
    <row r="266" spans="1:6" x14ac:dyDescent="0.35">
      <c r="A266" s="4">
        <f>IF(B266&lt;&gt;"",ROW()-15,"")</f>
        <v>251</v>
      </c>
      <c r="B266" s="5">
        <v>46165</v>
      </c>
      <c r="C266" s="3">
        <f>YEAR(B266)</f>
        <v>2026</v>
      </c>
      <c r="D266" s="3" t="str">
        <f>YEAR(B266)&amp;"/"&amp;MONTH(B266)</f>
        <v>2026/5</v>
      </c>
      <c r="E266" s="3" t="s">
        <v>1</v>
      </c>
      <c r="F266" s="2" t="s">
        <v>0</v>
      </c>
    </row>
    <row r="267" spans="1:6" x14ac:dyDescent="0.35">
      <c r="A267" s="4">
        <f>IF(B267&lt;&gt;"",ROW()-15,"")</f>
        <v>252</v>
      </c>
      <c r="B267" s="5">
        <v>46179</v>
      </c>
      <c r="C267" s="3">
        <f>YEAR(B267)</f>
        <v>2026</v>
      </c>
      <c r="D267" s="3" t="str">
        <f>YEAR(B267)&amp;"/"&amp;MONTH(B267)</f>
        <v>2026/6</v>
      </c>
      <c r="E267" s="3" t="s">
        <v>1</v>
      </c>
      <c r="F267" s="2" t="s">
        <v>0</v>
      </c>
    </row>
    <row r="268" spans="1:6" x14ac:dyDescent="0.35">
      <c r="A268" s="4">
        <f>IF(B268&lt;&gt;"",ROW()-15,"")</f>
        <v>253</v>
      </c>
      <c r="B268" s="5">
        <v>46200</v>
      </c>
      <c r="C268" s="3">
        <f>YEAR(B268)</f>
        <v>2026</v>
      </c>
      <c r="D268" s="3" t="str">
        <f>YEAR(B268)&amp;"/"&amp;MONTH(B268)</f>
        <v>2026/6</v>
      </c>
      <c r="E268" s="3" t="s">
        <v>1</v>
      </c>
      <c r="F268" s="2" t="s">
        <v>0</v>
      </c>
    </row>
    <row r="269" spans="1:6" x14ac:dyDescent="0.35">
      <c r="A269" s="4">
        <f>IF(B269&lt;&gt;"",ROW()-15,"")</f>
        <v>254</v>
      </c>
      <c r="B269" s="5">
        <v>46214</v>
      </c>
      <c r="C269" s="3">
        <f>YEAR(B269)</f>
        <v>2026</v>
      </c>
      <c r="D269" s="3" t="str">
        <f>YEAR(B269)&amp;"/"&amp;MONTH(B269)</f>
        <v>2026/7</v>
      </c>
      <c r="E269" s="3" t="s">
        <v>1</v>
      </c>
      <c r="F269" s="2" t="s">
        <v>0</v>
      </c>
    </row>
    <row r="270" spans="1:6" x14ac:dyDescent="0.35">
      <c r="A270" s="4">
        <f>IF(B270&lt;&gt;"",ROW()-15,"")</f>
        <v>255</v>
      </c>
      <c r="B270" s="5">
        <v>46228</v>
      </c>
      <c r="C270" s="3">
        <f>YEAR(B270)</f>
        <v>2026</v>
      </c>
      <c r="D270" s="3" t="str">
        <f>YEAR(B270)&amp;"/"&amp;MONTH(B270)</f>
        <v>2026/7</v>
      </c>
      <c r="E270" s="3" t="s">
        <v>1</v>
      </c>
      <c r="F270" s="2" t="s">
        <v>0</v>
      </c>
    </row>
    <row r="271" spans="1:6" x14ac:dyDescent="0.35">
      <c r="A271" s="4" t="str">
        <f>IF(B271&lt;&gt;"",ROW()-15,"")</f>
        <v/>
      </c>
      <c r="B271" s="5"/>
    </row>
    <row r="272" spans="1:6" x14ac:dyDescent="0.35">
      <c r="A272" s="4" t="str">
        <f>IF(B272&lt;&gt;"",ROW()-15,"")</f>
        <v/>
      </c>
      <c r="B272" s="5"/>
    </row>
    <row r="273" spans="1:2" x14ac:dyDescent="0.35">
      <c r="A273" s="4" t="str">
        <f>IF(B273&lt;&gt;"",ROW()-15,"")</f>
        <v/>
      </c>
      <c r="B273" s="5"/>
    </row>
    <row r="274" spans="1:2" x14ac:dyDescent="0.35">
      <c r="A274" s="4" t="str">
        <f>IF(B274&lt;&gt;"",ROW()-15,"")</f>
        <v/>
      </c>
      <c r="B274" s="5"/>
    </row>
    <row r="275" spans="1:2" x14ac:dyDescent="0.35">
      <c r="A275" s="4" t="str">
        <f>IF(B275&lt;&gt;"",ROW()-15,"")</f>
        <v/>
      </c>
      <c r="B275" s="5"/>
    </row>
    <row r="276" spans="1:2" x14ac:dyDescent="0.35">
      <c r="A276" s="4" t="str">
        <f>IF(B276&lt;&gt;"",ROW()-15,"")</f>
        <v/>
      </c>
      <c r="B276" s="5"/>
    </row>
    <row r="277" spans="1:2" x14ac:dyDescent="0.35">
      <c r="A277" s="4" t="str">
        <f>IF(B277&lt;&gt;"",ROW()-15,"")</f>
        <v/>
      </c>
      <c r="B277" s="5"/>
    </row>
    <row r="278" spans="1:2" x14ac:dyDescent="0.35">
      <c r="A278" s="4" t="str">
        <f>IF(B278&lt;&gt;"",ROW()-15,"")</f>
        <v/>
      </c>
      <c r="B278" s="5"/>
    </row>
    <row r="279" spans="1:2" x14ac:dyDescent="0.35">
      <c r="A279" s="4" t="str">
        <f>IF(B279&lt;&gt;"",ROW()-15,"")</f>
        <v/>
      </c>
      <c r="B279" s="5"/>
    </row>
    <row r="280" spans="1:2" x14ac:dyDescent="0.35">
      <c r="A280" s="4" t="str">
        <f>IF(B280&lt;&gt;"",ROW()-15,"")</f>
        <v/>
      </c>
      <c r="B280" s="5"/>
    </row>
    <row r="281" spans="1:2" x14ac:dyDescent="0.35">
      <c r="A281" s="4" t="str">
        <f>IF(B281&lt;&gt;"",ROW()-15,"")</f>
        <v/>
      </c>
      <c r="B281" s="5"/>
    </row>
    <row r="282" spans="1:2" x14ac:dyDescent="0.35">
      <c r="A282" s="4" t="str">
        <f>IF(B282&lt;&gt;"",ROW()-15,"")</f>
        <v/>
      </c>
      <c r="B282" s="5"/>
    </row>
    <row r="283" spans="1:2" x14ac:dyDescent="0.35">
      <c r="A283" s="4" t="str">
        <f>IF(B283&lt;&gt;"",ROW()-15,"")</f>
        <v/>
      </c>
      <c r="B283" s="5"/>
    </row>
    <row r="284" spans="1:2" x14ac:dyDescent="0.35">
      <c r="A284" s="4" t="str">
        <f>IF(B284&lt;&gt;"",ROW()-15,"")</f>
        <v/>
      </c>
      <c r="B284" s="5"/>
    </row>
    <row r="285" spans="1:2" x14ac:dyDescent="0.35">
      <c r="A285" s="4" t="str">
        <f>IF(B285&lt;&gt;"",ROW()-15,"")</f>
        <v/>
      </c>
      <c r="B285" s="5"/>
    </row>
    <row r="286" spans="1:2" x14ac:dyDescent="0.35">
      <c r="A286" s="4" t="str">
        <f>IF(B286&lt;&gt;"",ROW()-15,"")</f>
        <v/>
      </c>
      <c r="B286" s="5"/>
    </row>
    <row r="287" spans="1:2" x14ac:dyDescent="0.35">
      <c r="A287" s="4" t="str">
        <f>IF(B287&lt;&gt;"",ROW()-15,"")</f>
        <v/>
      </c>
      <c r="B287" s="5"/>
    </row>
    <row r="288" spans="1:2" x14ac:dyDescent="0.35">
      <c r="A288" s="4" t="str">
        <f>IF(B288&lt;&gt;"",ROW()-15,"")</f>
        <v/>
      </c>
      <c r="B288" s="5"/>
    </row>
    <row r="289" spans="1:2" x14ac:dyDescent="0.35">
      <c r="A289" s="4" t="str">
        <f>IF(B289&lt;&gt;"",ROW()-15,"")</f>
        <v/>
      </c>
      <c r="B289" s="5"/>
    </row>
    <row r="290" spans="1:2" x14ac:dyDescent="0.35">
      <c r="A290" s="4" t="str">
        <f>IF(B290&lt;&gt;"",ROW()-15,"")</f>
        <v/>
      </c>
      <c r="B290" s="5"/>
    </row>
    <row r="291" spans="1:2" x14ac:dyDescent="0.35">
      <c r="B291" s="5"/>
    </row>
    <row r="292" spans="1:2" x14ac:dyDescent="0.35">
      <c r="B292" s="5"/>
    </row>
    <row r="293" spans="1:2" x14ac:dyDescent="0.35">
      <c r="B293" s="5"/>
    </row>
    <row r="294" spans="1:2" x14ac:dyDescent="0.35">
      <c r="B294" s="5"/>
    </row>
    <row r="295" spans="1:2" x14ac:dyDescent="0.35">
      <c r="B295" s="5"/>
    </row>
    <row r="296" spans="1:2" x14ac:dyDescent="0.35">
      <c r="B296" s="5"/>
    </row>
    <row r="297" spans="1:2" x14ac:dyDescent="0.35">
      <c r="B297" s="5"/>
    </row>
    <row r="298" spans="1:2" x14ac:dyDescent="0.35">
      <c r="B298" s="5"/>
    </row>
    <row r="299" spans="1:2" x14ac:dyDescent="0.35">
      <c r="B299" s="5"/>
    </row>
    <row r="300" spans="1:2" x14ac:dyDescent="0.35">
      <c r="B300" s="5"/>
    </row>
    <row r="301" spans="1:2" x14ac:dyDescent="0.35">
      <c r="B301" s="5"/>
    </row>
    <row r="302" spans="1:2" x14ac:dyDescent="0.35">
      <c r="B302" s="5"/>
    </row>
    <row r="303" spans="1:2" x14ac:dyDescent="0.35">
      <c r="B303" s="5"/>
    </row>
    <row r="304" spans="1:2" x14ac:dyDescent="0.35">
      <c r="B304" s="5"/>
    </row>
    <row r="305" spans="2:2" x14ac:dyDescent="0.35">
      <c r="B305" s="5"/>
    </row>
    <row r="306" spans="2:2" x14ac:dyDescent="0.35">
      <c r="B306" s="5"/>
    </row>
    <row r="307" spans="2:2" x14ac:dyDescent="0.35">
      <c r="B307" s="5"/>
    </row>
    <row r="308" spans="2:2" x14ac:dyDescent="0.35">
      <c r="B308" s="5"/>
    </row>
    <row r="309" spans="2:2" x14ac:dyDescent="0.35">
      <c r="B309" s="5"/>
    </row>
    <row r="310" spans="2:2" x14ac:dyDescent="0.35">
      <c r="B310" s="5"/>
    </row>
    <row r="311" spans="2:2" x14ac:dyDescent="0.35">
      <c r="B311" s="5"/>
    </row>
    <row r="312" spans="2:2" x14ac:dyDescent="0.35">
      <c r="B312" s="5"/>
    </row>
    <row r="313" spans="2:2" x14ac:dyDescent="0.35">
      <c r="B313" s="5"/>
    </row>
    <row r="314" spans="2:2" x14ac:dyDescent="0.35">
      <c r="B314" s="5"/>
    </row>
    <row r="315" spans="2:2" x14ac:dyDescent="0.35">
      <c r="B315" s="5"/>
    </row>
    <row r="316" spans="2:2" x14ac:dyDescent="0.35">
      <c r="B316" s="5"/>
    </row>
    <row r="317" spans="2:2" x14ac:dyDescent="0.35">
      <c r="B317" s="5"/>
    </row>
    <row r="318" spans="2:2" x14ac:dyDescent="0.35">
      <c r="B318" s="5"/>
    </row>
    <row r="319" spans="2:2" x14ac:dyDescent="0.35">
      <c r="B319" s="5"/>
    </row>
    <row r="320" spans="2:2" x14ac:dyDescent="0.35">
      <c r="B320" s="5"/>
    </row>
    <row r="321" spans="2:2" x14ac:dyDescent="0.35">
      <c r="B321" s="5"/>
    </row>
    <row r="322" spans="2:2" x14ac:dyDescent="0.35">
      <c r="B322" s="5"/>
    </row>
    <row r="323" spans="2:2" x14ac:dyDescent="0.35">
      <c r="B323" s="5"/>
    </row>
    <row r="324" spans="2:2" x14ac:dyDescent="0.35">
      <c r="B324" s="5"/>
    </row>
    <row r="325" spans="2:2" x14ac:dyDescent="0.35">
      <c r="B325" s="5"/>
    </row>
    <row r="326" spans="2:2" x14ac:dyDescent="0.35">
      <c r="B326" s="5"/>
    </row>
    <row r="327" spans="2:2" x14ac:dyDescent="0.35">
      <c r="B327" s="5"/>
    </row>
    <row r="328" spans="2:2" x14ac:dyDescent="0.35">
      <c r="B328" s="5"/>
    </row>
    <row r="329" spans="2:2" x14ac:dyDescent="0.35">
      <c r="B329" s="5"/>
    </row>
    <row r="330" spans="2:2" x14ac:dyDescent="0.35">
      <c r="B330" s="5"/>
    </row>
    <row r="331" spans="2:2" x14ac:dyDescent="0.35">
      <c r="B331" s="5"/>
    </row>
    <row r="332" spans="2:2" x14ac:dyDescent="0.35">
      <c r="B332" s="5"/>
    </row>
    <row r="333" spans="2:2" x14ac:dyDescent="0.35">
      <c r="B333" s="5"/>
    </row>
    <row r="334" spans="2:2" x14ac:dyDescent="0.35">
      <c r="B334" s="5"/>
    </row>
    <row r="335" spans="2:2" x14ac:dyDescent="0.35">
      <c r="B335" s="5"/>
    </row>
    <row r="336" spans="2:2" x14ac:dyDescent="0.35">
      <c r="B336" s="5"/>
    </row>
    <row r="337" spans="2:2" x14ac:dyDescent="0.35">
      <c r="B337" s="5"/>
    </row>
    <row r="338" spans="2:2" x14ac:dyDescent="0.35">
      <c r="B338" s="5"/>
    </row>
    <row r="339" spans="2:2" x14ac:dyDescent="0.35">
      <c r="B339" s="5"/>
    </row>
    <row r="340" spans="2:2" x14ac:dyDescent="0.35">
      <c r="B340" s="5"/>
    </row>
  </sheetData>
  <mergeCells count="7">
    <mergeCell ref="A1:B1"/>
    <mergeCell ref="F9:F10"/>
    <mergeCell ref="G9:G10"/>
    <mergeCell ref="H1:M1"/>
    <mergeCell ref="F8:G8"/>
    <mergeCell ref="F7:G7"/>
    <mergeCell ref="C1:D1"/>
  </mergeCells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花原 稔</dc:creator>
  <cp:lastModifiedBy>花原 稔</cp:lastModifiedBy>
  <dcterms:created xsi:type="dcterms:W3CDTF">2026-07-27T22:58:35Z</dcterms:created>
  <dcterms:modified xsi:type="dcterms:W3CDTF">2026-07-27T22:58:49Z</dcterms:modified>
</cp:coreProperties>
</file>